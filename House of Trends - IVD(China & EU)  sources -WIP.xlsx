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 Data" sheetId="1" r:id="rId5"/>
    <sheet state="visible" name="Sources" sheetId="2" r:id="rId6"/>
  </sheets>
  <definedNames/>
  <calcPr/>
</workbook>
</file>

<file path=xl/sharedStrings.xml><?xml version="1.0" encoding="utf-8"?>
<sst xmlns="http://schemas.openxmlformats.org/spreadsheetml/2006/main" count="1197" uniqueCount="656">
  <si>
    <t>House of Trends - IVD(China &amp; EU) Pilot 1</t>
  </si>
  <si>
    <t>The Ask:</t>
  </si>
  <si>
    <t>The pilot will focus on the ability of Chinese in vitro diagnostics (IVD) suppliers to expand into European markets, specifically in two key markets (between, France, Italy, Germany, Spain and the UK). The analysis will explore critical factors, including access and reimbursement, healthcare and lab budget spend, regulatory hurdles for Chinese players, and customer receptivity to their solutions. We should remain open to other relevant areas within this framework.
The Chinese players in focus for this initial phase are Mindray and Snibe.</t>
  </si>
  <si>
    <t>Methodology:</t>
  </si>
  <si>
    <t>The analysis was conducted using a structured, evidence-driven research approach aligned with the project’s “Ask”: assessing the ability of Chinese IVD companies—specifically Mindray and SNIBE—to expand into key European markets.
Through a systemic and extensive Desk Research relevant sources were manually collected from authoritative industry and regulatory sources, including CACLP, European Commission and NICE publications and company disclosures (Mindray, SNIBE, HyTest, DiaSys, AB Analitica)
All sources were individually uploaded into NotebookLM, which was used to systematically extract and classify factual evidence. For each document, NotebookLM was instructed to tag key analytical fields using Yes/No flags, supported by exact source quotes, including:
geography (France, Italy, Germany, Spain, UK), company mentions (Mindray, SNIBE), access &amp; reimbursement, healthcare spending, regulatory status (IVDR, MDR, CE, notified bodies), customer receptivity, and other strategic factors.
 NotebookLLM utilised to provide:
-The exact quote from the document
-A short explanation of why the quote justified that tag
Detailed insights were manually synthesized from each source, with relevant visuals and contextual information carefully extracted. These strategic insights were consolidated into a structured document, with every source cross‑referenced to its corresponding serial‑numbered tab in the G‑Doc for full transparency and traceability.</t>
  </si>
  <si>
    <t>Meta data:</t>
  </si>
  <si>
    <t>Column Name</t>
  </si>
  <si>
    <t>Description</t>
  </si>
  <si>
    <t>S NO</t>
  </si>
  <si>
    <t>Unique row number assigned to each source for tracking and referencing</t>
  </si>
  <si>
    <t>Source Title</t>
  </si>
  <si>
    <t>The official title of the article, report, or document</t>
  </si>
  <si>
    <t>Name of the Source</t>
  </si>
  <si>
    <t>The publisher or organization issuing the source (e.g., CACLP, Deloitte, LabMedica, Mindray, JP Morgan)</t>
  </si>
  <si>
    <t>Source Type</t>
  </si>
  <si>
    <t>Classification of the source (e.g., Industry report, News article, Regulatory policy, Market data, Financial research)</t>
  </si>
  <si>
    <t>Year of Publication</t>
  </si>
  <si>
    <t>The year the source was published</t>
  </si>
  <si>
    <t>Period of the Data Used</t>
  </si>
  <si>
    <t>The time period covered by the data in the source (e.g., 2022, 2023–2025, 2022-2030F)</t>
  </si>
  <si>
    <t>Short summary of what the source covers</t>
  </si>
  <si>
    <t>Access Type</t>
  </si>
  <si>
    <t>Whether the source is Public or Paid</t>
  </si>
  <si>
    <t>Source Link</t>
  </si>
  <si>
    <t>Direct URL or file link to the source</t>
  </si>
  <si>
    <t>Geography Focus (France/Italy/Germany/Spain/UK)</t>
  </si>
  <si>
    <t>Lists which of the five target European countries are mentioned(Also includes if any other european country is found)</t>
  </si>
  <si>
    <t>Companies Mentioned (Mindray / SNIBE)</t>
  </si>
  <si>
    <t>Indicates whether Mindray, SNIBE, or both appear in the source</t>
  </si>
  <si>
    <t>Any other Additional Companies mentioned</t>
  </si>
  <si>
    <t>Lists any other companies referenced (e.g., Roche, Abbott, Wondfo, Hotgen, DiaSys, HyTest)</t>
  </si>
  <si>
    <t>Access &amp; Reimbursement (Yes/No)</t>
  </si>
  <si>
    <t>Whether the source contains information on market access, tenders, pricing, or reimbursement</t>
  </si>
  <si>
    <t>Budget Spend (Yes/No)</t>
  </si>
  <si>
    <t>Whether the source discusses hospital, laboratory, or healthcare spending</t>
  </si>
  <si>
    <t>Regulatory (Yes/No)</t>
  </si>
  <si>
    <t>Whether the source contains regulatory content (IVDR, MDR, CE, FDA, notified bodies, approvals)</t>
  </si>
  <si>
    <t>Customer Receptivity (Yes/No)</t>
  </si>
  <si>
    <t>Whether the source shows customer adoption, distributor traction, hospital use, or sales</t>
  </si>
  <si>
    <t>Others</t>
  </si>
  <si>
    <t>Any additional strategic themes (e.g., acquisitions, partnerships, localization, manufacturing, R&amp;D)</t>
  </si>
  <si>
    <t>Summary</t>
  </si>
  <si>
    <t>A short evidence-based summary of what the source means for Mindray, SNIBE, and their ability to compete in Europe</t>
  </si>
  <si>
    <t>Justification Reference (Common to all topics)</t>
  </si>
  <si>
    <t xml:space="preserve">All exact quotes from the source that justify any of the Yes/No flags </t>
  </si>
  <si>
    <t>Explanation(Common to all topics)</t>
  </si>
  <si>
    <t>Short explanation linking each quote to the relevant topic(s)</t>
  </si>
  <si>
    <t>Source Evidence</t>
  </si>
  <si>
    <t>Link to a dedicated tab containing the full supporting material from the source, including extracted text, key quotations, tables, figures, charts, and screenshots curated manually.</t>
  </si>
  <si>
    <t>Source  Type (Report, News, Policy, Market Data)</t>
  </si>
  <si>
    <t xml:space="preserve">Companies Mentioned
(Mindray /Snibe)
</t>
  </si>
  <si>
    <t>Access &amp; Reimbursement
(Yes/No)</t>
  </si>
  <si>
    <t>Justification reference (exact content from the source)</t>
  </si>
  <si>
    <t>Explanation</t>
  </si>
  <si>
    <t>Budget Spend
(Yes/No)</t>
  </si>
  <si>
    <t>Regulatory 
(Yes/No)</t>
  </si>
  <si>
    <t>Customer Receptivity
(Yes/No)</t>
  </si>
  <si>
    <t>2025 Blue Book on the Current Status and Trends of Global Expansion of Chinese Medical Devices</t>
  </si>
  <si>
    <t>Frost &amp; Sullivan Consulting China</t>
  </si>
  <si>
    <t>Consulting report</t>
  </si>
  <si>
    <t>The "2025 Blue Book on the Current Status and Trends of Global Expansion of Chinese Medical Devices" by Frost &amp; Sullivan provides a comprehensive analysis of the Chinese medical device industry's drive for global expansion, detailing the internal factors (such as intense domestic competition from volume-based procurement (VBP) and growing R&amp;D capacity) and external factors (such as the vast global market and the price competitiveness of Chinese devices). The report outlines key strategies for going global, including distribution, direct sales, building overseas capacity, OEM/ODM, mergers and acquisitions, and cross-border e-commerce. Despite the significant growth in exports, Chinese companies face challenges such as complex international regulatory and certification barriers (FDA PMA, EU CE-MDR), technology and intellectual property risks, and difficulties in localization. The document projects future trends, including increased R&amp;D investment, continuous alignment with international standards, and diversification of global branding strategies.</t>
  </si>
  <si>
    <t>Open</t>
  </si>
  <si>
    <t>https://drive.google.com/file/d/1zt3vNjOlugypsvPkywduyWNRPGTHrsoj/view?usp=drive_link</t>
  </si>
  <si>
    <t>France, Germany, United Kingdom, Netherlands, Belgium, Switzerland, Greece, Hungary, Turkey, Norway, Iceland, Liechtenstein, Russia</t>
  </si>
  <si>
    <t>Both</t>
  </si>
  <si>
    <t>Andon Health, United Imaging, Edan Instruments, Wego, Yuwell, Lepu Medical, Autobio, Fapon Biotech, Vazyme, BGI, Novogene, Jincheng Pharma, Orient Gene, Hotgen Biotech, All Test, HyTest (acquired by Mindray), DiaSys (acquired by Mindray).</t>
  </si>
  <si>
    <t>Yes</t>
  </si>
  <si>
    <t>• "EU member states commonly adopt a pricing system driven by public health insurance. National or regional agencies engage in strategic negotiations with medical device manufacturers to balance three key goals within the healthcare budget: patient affordability, reasonable company profits, and regulatory compliance."
• "This is supported by a tiered reimbursement structure, by using a DRG-based prospective payment system at the base level, and additional reimbursement mechanisms for expensive and innovative technologies at the supplementary level."
• "In Europe, where healthcare payments are mainly government-funded, companies need to prioritize public tender rules and long-term cost control."</t>
  </si>
  <si>
    <t>For IVD suppliers, Europe is not a monolithic market but a collection of government-funded systems that utilize Diagnosis-Related Groups (DRGs). Success requires navigating complex public tenders where cost-control is paramount, yet mechanisms exist for premium reimbursement of innovative diagnostics if clinical value is proven.</t>
  </si>
  <si>
    <t>• "1.65 trillion Euros Healthcare Expenditure... 3,685 Euros Healthcare Expenditure per Capita."</t>
  </si>
  <si>
    <t>The European market represents a massive, high-value opportunity with significant per capita spending. The budget structure is heavily weighted toward government and mandatory insurance funding (over 60% combined), meaning IVD suppliers must target public sector procurement cycles rather than private out-of-pocket spending.</t>
  </si>
  <si>
    <t>• "The EU enforces a unified and strict regulatory system for medical devices, centered on the Medical Device Regulation (MDR EU 2017/745) and the In Vitro Diagnostic Medical Device Regulation (IVDR EU 2017/746)."
• "Since the EU MDR took effect, the average CE certification process has lengthened by 6 to 12 months, and more than 30% of small and medium-sized enterprises have been forced out of the market."
• "In vitro diagnostic devices follow a separate classification under the IVDR. High-risk products require certification by Notified Bodies, while low-risk products may be self-declared by the manufacturer."
• "The MDR and IVDR transition periods have been extended to 2027-2028, requiring companies to maintain strict compliance throughout the product lifecycle."
• "The EU has strict environmental requirements for raw materials and components, such as the REACH regulation, forcing companies to adjust their R&amp;D and design approaches to fit green supply chain management."</t>
  </si>
  <si>
    <t>The transition to IVDR represents a significant non-tariff barrier, lengthening certification timelines and forcing market consolidation. Chinese IVD companies face increased costs and technical hurdles (Notified Body scrutiny) compared to the previous directive era. Environmental regulations (REACH) add another layer of compliance complexity for reagents and instruments.</t>
  </si>
  <si>
    <t>• "Chinese medical devices face low brand recognition in overseas markets. In developed countries such as those in Europe and North America, there is price sensitivity toward low- to mid-end devices, but a lack of brand trust in high-end products from Chinese manufacturers."
• "Currently, Chinese IVD companies face multiple challenges in global expansion, including competition from international brands... In comparison, the overseas IVD market is dominated by international giants like Roche and Johnson &amp; Johnson, which have strong brands and advanced technologies..."
• "Chinese medical device industry holds a core competitive advantage in cost-effectiveness... Chinese produced alternatives also show strong price competitiveness... This 'performance-to-cost' differentiated competition strategy allows Chinese companies... [to create] a substitution effect in international markets..."</t>
  </si>
  <si>
    <t>While cost-effectiveness drives adoption in low-to-mid-tier segments, a "trust deficit" hampers adoption of high-end IVD solutions in Europe. The market remains dominated by entrenched Western incumbents (Roche, etc.), making it difficult for Chinese suppliers to displace existing workflows without significant local Key Opinion Leader (KOL) endorsement or price incentives.</t>
  </si>
  <si>
    <t>• M&amp;A Strategy: "Mindray Medical... in 2023, it acquired Germany-based DiaSys, a company specializing in in vitro diagnostics." "On September 22, 2021, Mindray completed the acquisition of 100% equity in Finland's HyTest Invest Oy... The acquisition fills many gaps in China's upstream IVD raw materials sector."
• Market Entry Strategy: "Some Eastern European countries like Hungary and Greece... are often used by companies as gateways into the EU market. For some Class III medical devices, companies prefer certification in countries like Germany and the Netherlands, where regulations are stricter but the markets are larger, to enhance brand credibility."
• Supply Chain Risks: "Recently, the EU has strengthened supply chain localization policies... which indirectly affects the stability of the medical device supply chain and increases uncertainty for Chinese exporters."</t>
  </si>
  <si>
    <t xml:space="preserve">Strategic acquisitions (e.g., Mindray acquiring HyTest and DiaSys) are critical for Chinese firms to secure upstream raw materials and localized European distribution channels. Geopolitically, the EU's push for supply chain localization poses a risk to pure importers. Smart entry strategies involve utilizing specific gateway countries (Hungary/Greece) for initial access or leveraging strict German certification to build brand credibility.
</t>
  </si>
  <si>
    <t xml:space="preserve">The European IVD market presents a high-value but high-barrier opportunity for Chinese suppliers like Mindray, Snibe, and Autobio, driven by substantial government-backed healthcare spending. Success relies heavily on navigating the complex transition to IVDR, which has significantly raised compliance costs and timelines, favoring large, capitalized firms over smaller entrants. While Chinese suppliers hold a distinct advantage in cost-effectiveness, they face a critical "trust deficit" in the high-end segment dominated by incumbents like Roche, necessitating a strategy of acquiring local European entities (e.g., HyTest, DiaSys) to secure supply chains and credibility. Reimbursement is tightly controlled through public tenders and DRG systems, requiring suppliers to balance affordability with strict regulatory adherence. Companies are advised to utilize strategic entry points—using Eastern Europe for access or Germany for credibility—while mitigating risks associated with the EU's increasing focus on supply chain localization and environmental standards. Ultimately, the market is shifting from simple export economics to a requirement for deep localization in compliance, service, and manufacturing.
</t>
  </si>
  <si>
    <t>https://docs.google.com/document/d/1KWqiQRt4NvZuv2_3GC2UQWi7agGABNUshk7Pk_lRDTM/edit?tab=t.0</t>
  </si>
  <si>
    <t>Commission restricts Chinese participation in medical devices procuremen</t>
  </si>
  <si>
    <t>European Commission</t>
  </si>
  <si>
    <t>Official Press release</t>
  </si>
  <si>
    <t>-</t>
  </si>
  <si>
    <t>The press release announces that the EU will exclude companies of Chinese origin from participating in public procurement tenders for medical devices whose contract value exceeds €5 million. This measure applies to public buyers across EU Member States. It effectively bars Chinese‑based manufacturers or suppliers from large public‑sector medical‑device contracts in the EU.</t>
  </si>
  <si>
    <r>
      <rPr>
        <rFont val="Roche Sans"/>
        <color rgb="FF0000FF"/>
        <sz val="10.0"/>
      </rPr>
      <t>https://ec.europa.eu/commission/presscorner/detail/en/ip_25_1569</t>
    </r>
    <r>
      <rPr>
        <rFont val="Roche Sans"/>
        <color rgb="FF0000FF"/>
        <sz val="10.0"/>
      </rPr>
      <t xml:space="preserve"> Commission_restricts_Chinese_participation_in_medical_devices_procurement.pdf</t>
    </r>
  </si>
  <si>
    <t>• "The European Commission decided to exclude Chinese companies from EU government purchases of medical devices exceeding €5 million."
• "This measure... allows no more than 50% of inputs from China for successful bids."
• "Exceptions will be in place where no alternative suppliers exist."</t>
  </si>
  <si>
    <t>These quotes outline a critical barrier to market entry for Chinese suppliers. The restriction specifically targets high-value public tenders (often central to IVD lab consolidation deals), effectively blocking direct access for Chinese firms on contracts over €5 million. Furthermore, the "50% inputs" rule suggests that even non-Chinese companies may face access issues if their supply chain relies heavily on Chinese OEM components for diagnostic platforms.
Flags/Gaps:
• Gap: The source does not address reimbursement codes or coverage for specific diagnostic tests, only the procurement mechanism for the devices themselves.
• Gap: It is unclear how "inputs" are calculated (e.g., by value or volume), which is a critical detail for supply chain strategy.</t>
  </si>
  <si>
    <t>• "...government purchases of medical devices exceeding €5 million."
• "Global public procurement, worth over €11 trillion per year, is an important business opportunity for European companies."</t>
  </si>
  <si>
    <t>The €5 million threshold indicates that Chinese suppliers may still compete for smaller, decentralized budget buckets (e.g., individual small lab purchases), but are locked out of large-scale, centralized budget allocations. The reference to the €11 trillion global market contextualizes the high stakes of this trade dispute.
Flags/Gaps:
• Assumption: The policy assumes that blocking access to EU budgets will effectively leverage China to open its own budget spend to EU firms.</t>
  </si>
  <si>
    <t>• "This measure follows the conclusions of the first investigation under the International Procurement Instrument (IPI)..."
• "The measures are consistent with the EU's international obligations, including under the WTO framework, as the EU has no binding procurement commitments vis-à-vis China."</t>
  </si>
  <si>
    <t>This evidence introduces the International Procurement Instrument (IPI) as a new regulatory force shaping the IVD landscape. It moves regulatory compliance beyond safety (CE/IVDR) to include geopolitical origin and supply chain composition.
Flags/Gaps:
• Contradiction: The source claims the EU market is "one of the most open in the world" while simultaneously announcing significant exclusionary regulatory measures.</t>
  </si>
  <si>
    <t>• "Chinese exports of medical devices to the EU have more than doubled between 2015 and 2023."
• "ensuring that all the necessary medical devices are available for the EU healthcare system."</t>
  </si>
  <si>
    <t>The doubling of exports indicates that European customers (labs and hospitals) have historically been highly receptive to Chinese medical devices, likely due to price competitiveness. The Commission's need to ensure "necessary medical devices are available" implies an acknowledgment that restricting Chinese goods could potentially create supply gaps if not managed with exceptions.
Flags/Gaps:
• Gap: The text does not capture current customer sentiment regarding the quality of Chinese IVD products, only the volume of trade.</t>
  </si>
  <si>
    <t>• "87% of public procurement contracts for medical devices in China were subject to exclusionary and discriminatory measures and practices against EU-made medical devices and EU suppliers..."
• "The IPI is ultimately a tool to incentivize positive change and create leverage for fairer access."
• "Our aim with these measures is to level the playing field for EU businesses."</t>
  </si>
  <si>
    <t>These insights reveal the macro-strategic environment: a trade war driven by lack of reciprocity. For IVD strategy, this highlights that the EU market environment for Chinese firms is now directly linked to the Chinese government's treatment of EU firms. The "87% exclusion" stat from China serves as the justification for the EU's retaliatory posture.
Flags/Gaps:
• Bias: As a press release from the regulating body, the document presents a one-sided justification for the sanctions without presenting the counter-arguments or potential economic downsides for EU healthcare providers (e.g., increased costs).</t>
  </si>
  <si>
    <t>The future of the IVD market in Europe is currently being reshaped by significant geopolitical intervention via the International Procurement Instrument (IPI). As of mid-2025, the European Commission has instituted a ban on Chinese companies participating in government medical device tenders exceeding €5 million, mandating that successful bids contain no more than 50% Chinese inputs. This move is a direct retaliation against China’s "discriminatory measures" where 87% of contracts reportedly exclude EU suppliers. While the EU acknowledges that Chinese exports to the region doubled between 2015 and 2023, indicating high customer adoption, this new regulation forces a strategic pivot for Chinese entrants toward smaller contracts or private sector deals to bypass the €5M cap. The regulation explicitly targets public procurement budgets, creating a "level playing field" for domestic EU firms, but introduces supply chain risks regarding the definition of "inputs." The primary risk for Chinese IVD suppliers is total exclusion from large-scale lab consolidation tenders, while the opportunity lies in potential policy reversals if China offers "verifiable... solutions" to open its own market. No specific companies (e.g., Mindray, Snibe) or individual nations are named, suggesting a blanket EU-wide application of these rules.</t>
  </si>
  <si>
    <t>https://docs.google.com/document/d/1KWqiQRt4NvZuv2_3GC2UQWi7agGABNUshk7Pk_lRDTM/edit?tab=t.utaeocrbr2jc</t>
  </si>
  <si>
    <t>Wondfo Acquires Tisenc Aims to Expand Chemiluminescence Business</t>
  </si>
  <si>
    <t>CACLP (China Association of Clinical Laboratory Practice) / CACLP website</t>
  </si>
  <si>
    <t>Industry News</t>
  </si>
  <si>
    <t xml:space="preserve">Reports that Wondfo Biology Co., Ltd. (based in Guangzhou, China) has signed an agreement to acquire 100% equity of Shenzhen Tisenc Medical Device Co., Ltd., making Tisenc a wholly-owned subsidiary. The acquisition is positioned to expand Wondfo’s chemiluminescence product line and global sales reach. The article includes contextual data: the global IVD (in-vitro diagnostics) market size, that immunodiagnostic products comprise about one-third of that, and noting that China’s in-house chemiluminescence production (localization rate) is only 20–25%, indicating room for import substitution. </t>
  </si>
  <si>
    <r>
      <rPr>
        <rFont val="Roche Sans"/>
        <color rgb="FF0000FF"/>
        <sz val="10.0"/>
      </rPr>
      <t>https://en.caclp.com/industry-news/1161.html</t>
    </r>
    <r>
      <rPr>
        <rFont val="Roche Sans"/>
        <color rgb="FF0000FF"/>
        <sz val="10.0"/>
      </rPr>
      <t xml:space="preserve"> </t>
    </r>
  </si>
  <si>
    <t>No</t>
  </si>
  <si>
    <t>• "Tisenc has owned ISO13485, CE certificate, Europe FSC and Chinese FDA approved."</t>
  </si>
  <si>
    <t>The mention of the "CE certificate" and "Europe FSC" (Free Sale Certificate) confirms that the acquired subsidiary, Tisenc, has already cleared the baseline regulatory hurdles required to sell legally in the European Union. The inclusion of a webinar titled "Understanding IVDR" suggests the platform (CACLP) recognizes the transition to the new In Vitro Diagnostic Regulation (IVDR) as a critical compliance barrier for Chinese exporters.</t>
  </si>
  <si>
    <t>• "The Company offers a complete and interesting list of products for various target customers, from small laboratories to middle size diagnostic centers."
• "...widely sold to 140+ countries and regions."
• "Wondfo continues to expand the global service network to more efficiently serve customers all over the world."
• "Its small size, MINI (POCT) CLIA analyzers and All-In-One Single Does reagent Strip, named ACCRE, allow for performing hundreds of assays..."</t>
  </si>
  <si>
    <t>The evidence points to a specific market segmentation strategy: targeting "small laboratories to middle size diagnostic centers" rather than high-volume central labs. The emphasis on "small size" and "MINI (POCT) CLIA analyzers" suggests that customer adoption is driven by the demand for decentralized, compact testing solutions.</t>
  </si>
  <si>
    <t>• "Globally, IVD has a broad market space... at present, the total global market of IVD is close to US $80 billion, of which the market share of immunodiagnostic products is the highest..."
• "...chemiluminescence is still the track with the largest total market volume and the highest profit margin."
• "...the localization rate of chemiluminescence in China at this stage is only 20% - 25%, and there is a wide space for import substitution."
• "Wondfo invested in factories in Asia, South America, Africa and the commonwealth of independent states to build a global manufacturing system that helps reduce the delivery time and cost."
• "Through this acquisition, Wondfo aims to expand its innovative layout in the field of chemiluminescence and further enhance the chemiluminescence product line and revenue scale."</t>
  </si>
  <si>
    <t>These insights reveal the macro-strategy: Wondfo is using domestic "import substitution" (displacing foreign competitors in China) to fund global expansion. The strategic focus is on Chemiluminescence Immunoassay (CLIA) due to its high profit margins. A notable gap is the manufacturing footprint; while factories are established in Asia, South America, and Africa, there is no mention of European manufacturing, which may impact supply chain agility in that region compared to local competitors.</t>
  </si>
  <si>
    <t>The provided documents highlight a clear strategic intent by Chinese supplier Wondfo to expand its global footprint in the high-margin chemiluminescence (CLIA) sector through the acquisition of Tisenc. While no specific European countries are named, the possession of "CE certificate" and "Europe FSC" indicates readiness for the European market, specifically targeting decentralized testing segments like "small laboratories" with compact POCT analyzers. The regulatory landscape is acknowledged via references to IVDR, presenting a compliance hurdle that suppliers are actively monitoring. However, a significant gap exists regarding specific European reimbursement structures and budget environments, which are absent from the text. Furthermore, Wondfo's manufacturing infrastructure is currently located in Asia, Africa, and South America, potentially creating logistics or tariff risks for European expansion compared to competitors with local production. The overarching trend is the leverage of domestic "import substitution" success to fuel international growth in immunodiagnostics.</t>
  </si>
  <si>
    <t>https://docs.google.com/document/d/1KWqiQRt4NvZuv2_3GC2UQWi7agGABNUshk7Pk_lRDTM/edit?tab=t.gbihe4fwtsat</t>
  </si>
  <si>
    <t>The internationalization of Chinese IVD companies as seen in the product registrations around the globe</t>
  </si>
  <si>
    <t>The article discusses how Chinese in-vitro diagnostics (IVD) companies are increasingly internationalizing. It reviews global product-registration data for various firms: e.g. Mindray (3,914 global registrations, 3,158 overseas), Maccura, Snibe, etc. It compares these to global leaders like Siemens Healthineers, Roche, Abbott Laboratories to show that a gap remains. The article notes that Chinese firms have expanded registration (and presumably sales) across many global markets — US, EU, Australia, Japan, South Korea, Southeast Asia (e.g. Singapore, Indonesia), Middle East (Saudi Arabia), Latin America (Brazil, Colombia), India, etc. It argues that international expansion (registration + compliance + quality improvement) is essential for long-term growth of Chinese IVD industry.</t>
  </si>
  <si>
    <t>https://en.caclp.com/industry-news/2365.html</t>
  </si>
  <si>
    <t>European Union</t>
  </si>
  <si>
    <t>Maccura, Siemens Healthineers, Roche, Abbott Laboratories, Beckman Coulter, Thermo Fisher Scientific, HyTest, Wondfo, Gongdong, Orient Gene, Andon, Zybio, Fosun, YHLO, Autobio, PerkinElmer, Revvity, Hitachi, Pillar Biosciences, AstraZeneca.</t>
  </si>
  <si>
    <t xml:space="preserve"> ◦ "The mature and stable pricing systems in international markets, along with their vast scale and demands, offer support for enterprises’ development."</t>
  </si>
  <si>
    <t>This insight is critical as it contrasts international markets with the Chinese domestic market. It suggests that Chinese IVD suppliers view international expansion (including Europe) as a route to financial stability due to more predictable reimbursement and pricing structures compared to the volatility of domestic reforms.
• Gaps/Assumptions: The source assumes international pricing systems are universally "mature and stable," failing to account for specific European fragmentation or reimbursement austerity measures in individual EU member states.</t>
  </si>
  <si>
    <t xml:space="preserve"> ◦ "...expanding global business in the context of healthcare reform, centralized procurement, and fierce competition."
    ◦ "...supply products with competitive manufacturing capabilities, unique advantages, and favorable pricing to global markets."</t>
  </si>
  <si>
    <t>The evidence points to a "push" factor: budget tightening in China (centralized procurement) is forcing companies to export. Conversely, the "pull" factor is the ability of Chinese firms to offer "favorable pricing" to global buyers, positioning them as cost-efficient alternatives in budget-conscious markets.
• Gaps/Assumptions: The text implies that "favorable pricing" is sufficient to win global tenders but lacks data on how European procurement specifically weighs price versus value-based healthcare metrics.</t>
  </si>
  <si>
    <t xml:space="preserve">   ◦ "...Mindray boasts an impressive 3,914 registration certificates worldwide, of which 3,158 are from overseas markets."
    ◦ "Similarly, Maccura has secured 2,467 registration certificates worldwide... while Snibe holds 1,493 global registration certificates..."
   ◦ "It is imperative for local companies to bolster their global distribution, which should primarily focus on increasing product registrations worldwide while ensuring impeccable product quality and compliance with the regulations of export destinations."</t>
  </si>
  <si>
    <t>The source highlights the volume of registrations as a primary metric of internationalization. The specific mention of "Understanding IVDR" (In Vitro Diagnostic Regulation) in the conference agenda indicates that navigating the complex new European regulatory landscape is a top priority and a known hurdle for Chinese exporters.
• Gaps/Assumptions: The text equates the quantity of registration certificates with market success. It does not clarify how many of these certificates are valid under the new, stricter European IVDR versus the older IVDD directive.</t>
  </si>
  <si>
    <t xml:space="preserve"> ◦ "As Chinese companies have been enhancing their product quality and reputation, the demands for gaining international recognition and expanding into the global market are steadily rising."
    ◦ "In the first three quarters of 2022, Snibe installed 1,141 chemiluminescent instruments in China and sold 3,637 units abroad."
    ◦ "...presenting a comprehensive range of products that boast improving quality and surging export demands."
    ◦ "Zybio’s hematological cytometer and mass spectrometry instruments also recorded significant oversea sales."</t>
  </si>
  <si>
    <t>The source provides evidence of actual adoption, notably Snibe selling more units abroad than domestically in a specific period. It emphasizes a shift in customer perception linked to "improving quality," suggesting that Chinese suppliers are moving up the value chain to overcome trust barriers.
• Gaps/Assumptions: The source claims "reputation" is enhancing but relies on internal industry sentiment rather than customer surveys or feedback from European labs.</t>
  </si>
  <si>
    <t xml:space="preserve">    ◦ "Global companies like Roche, Abbott Laboratories, Beckman Coulter, Siemens Healthineers, and Hitachi have accelerated localization through establishing R&amp;D centers and production bases in China..."
    ◦ "...enabling Chinese IVD companies to move beyond the in China for China approach and truly embrace in China for the world..."
    ◦ "...there still exists a substantial disparity between the number of registration certificates held by these companies and that of global industry leaders."
    ◦ "Beckman Coulter and Thermo Fisher Scientific have successfully registered their products in 19 countries and regions, whereas the leading Chinese company, Mindray, has managed to register products in 15 countries and regions."</t>
  </si>
  <si>
    <t>Strategic "localization" is a key theme, both for multinationals entering China and Chinese firms going abroad (via acquisitions like HyTest). The data also highlights a competitive gap: despite growth, Chinese leaders like Mindray still trail legacy giants (Roche, Siemens) in global footprint and total registrations, indicating high barriers to displacing incumbents.</t>
  </si>
  <si>
    <t>The source material depicts a Chinese IVD sector aggressively pursuing internationalization, driven by domestic pressures such as "centralized procurement" and "fierce competition". Key players like Mindray and Snibe are prioritizing global expansion, with Snibe explicitly reporting higher instrument sales abroad than domestically during parts of 2022. The strategy for entering markets like the European Union hinges on leveraging "favorable pricing" while navigating complex regulatory landscapes, specifically the IVDR. However, a significant gap remains between Chinese suppliers and global incumbents (e.g., Roche, Siemens) regarding total "registration certificates" and market depth,. Opportunities lie in offering cost-effective solutions to markets with "mature and stable pricing systems", but the reliance on registration counts as a proxy for success masks potential risks regarding brand trust and the distinct challenges of European market fragmentation. M&amp;A activity, such as Mindray's acquisition of HyTest, suggests a strategic pivot toward acquiring established technologies to bridge these gaps.</t>
  </si>
  <si>
    <t>https://docs.google.com/document/d/1KWqiQRt4NvZuv2_3GC2UQWi7agGABNUshk7Pk_lRDTM/edit?tab=t.6fsfwwupko0x</t>
  </si>
  <si>
    <t>IVD China last week: Autobio, Dirui, Wondfo, Mindray and Snibe, Autobio,Sekisui, URIT</t>
  </si>
  <si>
    <t>Q1 2024</t>
  </si>
  <si>
    <t>The article summarizes the Q1 2024 financial results of several Chinese in-vitro diagnostics (IVD) companies (Autobio, Dirui, Wondfo, Mindray and Snibe). It reports their operating revenues and net profits, notes a strategic partnership between Autobio and Sekisui Medical (on biochemical reagents in China), and highlights that URIT’s UC-1800 urine analyzer received U.S. FDA approval — the first FDA-approved fully automated urine analyzer in China.</t>
  </si>
  <si>
    <t>https://en.caclp.com/industry-news/2785.html</t>
  </si>
  <si>
    <t>Autobio, Dirui, Wondfo, Sekisui, URIT, Roche, BillionToOne, Pillar Biosciences, AstraZeneca.</t>
  </si>
  <si>
    <t>• "capable of handling the needs of the high-end market with ease."
• "the world's first comprehensive testing speed"
• "UC-1800 is the world's first urine dry chemistry analyzer that can achieve charts and traceable results"</t>
  </si>
  <si>
    <t xml:space="preserve"> While the specific customer location for the URIT analyzer isn't restricted to Europe, these quotes highlight a shift in Chinese manufacturing from value-tier to "high-end market" segments. The emphasis on "world's first" technical specifications suggests a strategy to appeal to customers in developed markets (like Western Europe) who prioritize performance, speed, and traceability over price alone.</t>
  </si>
  <si>
    <t>• "Mindray announced its first quarterly report for 2024... Medical R&amp;D investment of RMB 1.030 billion, accounting for 10.99% of operating income."
• "Dirui released its first quarter 2024 results report... total operating income of RMB 663 million... a year-on-year increase of 99.60%"
• "Snibe released the first quarter 2024 results report... total operating income of RMB 1.021 billion, an increase of 16.62% year-on-year"
• "Autobio and Sekisui Launched a comprehensive strategic partnership for biochemical reagents in China"
• "URIT UC-1800 Urine Analyzer successfully passed the U.S. FDA approval."</t>
  </si>
  <si>
    <t xml:space="preserve">• R&amp;D Intensity: Mindray's significant investment in R&amp;D (approx. 11% of revenue) signals strong capital allocation toward innovation, a requirement for competing with entrenched European giants like Roche or Siemens.
• Financial Health: The robust growth rates (particularly Dirui's ~99% and Snibe's ~16% increases) suggest these companies have the financial liquidity required to fund expensive European expansion campaigns.
• Strategic Partnerships: The Autobio/Sekisui partnership, while focused on China, demonstrates that Chinese firms are adept at cross-border collaboration to leverage "respective brand accumulation", a tactic likely to be replicated for European market entry.
• Global Standards: URIT's FDA approval, while US-centric, serves as a proxy for global quality assurance, increasing credibility for potential European buyers.
</t>
  </si>
  <si>
    <t>The provided sources highlight a disconnect between the financial strength of Chinese IVD suppliers and specific intelligence on European market entry. Mindray, Snibe, and Dirui show aggressive revenue growth and high R&amp;D spending, indicating they possess the capital necessary for global expansion. However, evidence regarding European access, reimbursement, and budget structures is entirely absent, representing a critical gap for strategic planning. The regulatory landscape is acknowledged only through mentions of "Understanding IVDR" and competitor Roche's CE Mark activity, confirming that regulatory compliance remains a primary hurdle. While product quality is positioned for the "high-end market" with "world's first" claims, the source focuses heavily on domestic Chinese performance and US FDA approvals rather than direct European customer adoption. Consequently, while Chinese firms are financially ready, the source lacks the market-specific data required to validate immediate expansion success in Europe.</t>
  </si>
  <si>
    <t>https://docs.google.com/document/d/1KWqiQRt4NvZuv2_3GC2UQWi7agGABNUshk7Pk_lRDTM/edit?tab=t.77v4bjdhbodb</t>
  </si>
  <si>
    <t>80 Chinese IVD listed companies released the 2023 annual reports</t>
  </si>
  <si>
    <t>The article summarises the 2023 financial performance of Chinese IVD‑listed companies. Among 82 listed firms, 61 are “main IVD businesses” (IVD accounts for &gt;50% of total business) and 21 have IVD‑related business. For the 59 main IVD companies that disclosed their 2023 results, total revenue was CNY 108.44 billion, a steep drop (−53.26%) compared to 2022’s CNY 231.99 billion. Net profit fell to CNY 9.14 billion, down ~84.5% from CNY 59.12 billion in 2022. The top three companies by 2023 revenue were Dian Diagnostics (CNY 13.41 billion), Runda Medical (CNY 9.15 billion), and KingMed Diagnostics (CNY 8.54 billion). Only 17 of the 59 firms saw year‑on‑year revenue growth; the majority experienced declines, reflecting a broader industry contraction in 2023 as the market re‑adjusted post‑COVID.</t>
  </si>
  <si>
    <t>https://en.caclp.com/industry-news/2808.html</t>
  </si>
  <si>
    <t>New Horizon Health, Burning Rock Dx, Dian Diagnostics, Runda Medical, KingMed Diagnostics, Mega Genomics, Yestar Healthcare, Bohui Innovation Biotechnology, Improve Medical, Autobio, BSBE, Lifotronic, Dirui, Medical Systerm, Novogene, Innovita, Succeeder, AVE Science &amp; Technology, Leadman, Fosun Pharma, Wantai BioPharm, Roche, BillionToOne, Pillar Biosciences, AstraZeneca.</t>
  </si>
  <si>
    <t>--</t>
  </si>
  <si>
    <t>• "Among the 21 IVD-related companies, Mindray's 2023 revenue reached 34.93 billion... and net attributable profit was 11.58 billion... Mindray's net attributable profit has maintained a growth of more than 20% for six consecutive years since its listing."
• "The net profit of Snibe, Autobio, BSBE, Lifotronic... are all positive, and compared to the same period of 2022, they all have growth."
• "According to the annual report of these companies, in 2023, the entire IVD industry market size quickly fell back to the traditional non-COVID business, and the majority of companies in 2023 revenue declined to a certain extent."</t>
  </si>
  <si>
    <t>These insights are critical for strategy as they reveal the financial health and strategic pivots of potential Chinese competitors in Europe. The "quick fall back to traditional non-COVID business" suggests that Chinese suppliers are now aggressively refocusing on routine diagnostics (like the growth seen in Mindray and Snibe), which increases competitive pressure in global markets. Furthermore, the webinar titles suggest a bi-directional interest; while Chinese companies look outward, there is an active ecosystem facilitating North American companies entering China, implying a dynamic, two-way competitive landscape.</t>
  </si>
  <si>
    <t>The provided sources reveal a Chinese IVD sector in a state of significant financial transition, pivoting sharply from pandemic-driven revenue back to "traditional non-COVID business". Major players like Mindray and Snibe demonstrate resilience, with Mindray maintaining "growth of more than 20% for six consecutive years", positioning them as formidable competitors with the capital to fund expansion. However, evidence regarding the European market is sparse, limited to high-level regulatory indicators such as interest in "Understanding IVDR" and mentions of the "CE Mark". The documents highlight a gap in specific European country data, offering no insights into reimbursement, budget structures, or customer receptivity in regions like France or Germany. Consequently, while the intent to expand is implied by the focus on international regulatory standards, the capability to navigate European market access barriers remains unassessed in these texts. Strategic planning must account for these well-capitalized Chinese competitors refocusing on routine diagnostics, but further intelligence is required to map their specific entry points into the European healthcare infrastructure.</t>
  </si>
  <si>
    <r>
      <rPr>
        <rFont val="Roche Sans"/>
        <color rgb="FF1155CC"/>
        <u/>
      </rPr>
      <t>https://docs.google.com/document/d/1KWqiQRt4NvZuv2_3GC2UQWi7agGABNUshk7Pk_lRDTM/edit?tab=t.gubflxce6ci3</t>
    </r>
    <r>
      <rPr>
        <rFont val="Roche Sans"/>
        <color rgb="FF000000"/>
      </rPr>
      <t xml:space="preserve"> </t>
    </r>
  </si>
  <si>
    <t>IVD China last week: Roche, Snibe, Wondfo, BGI, Ustar</t>
  </si>
  <si>
    <t>A round-up of recent in vitro diagnostics (IVD) industry developments, including: Roche’s product registration and localization progress in China; SNIBE’s EU regulatory certifications; Wondfo’s H1 2025 revenue and international expansion; BGI’s Saudi joint venture capital increase supporting a major public hospital testing contract; and a collaboration between Ustar Biotech and University of Indonesia on molecular POCT diagnostics.</t>
  </si>
  <si>
    <t>https://en.caclp.com/industry-news/3530.html</t>
  </si>
  <si>
    <t>Roche Diagnostics
• Autobio
• Wondfo Biotech (including Wondfo Health)
• BGI Genomics (including BGI Almanahil and joint venture Genalive)
• Ustar Biotech
• Sinopia Biosciences
• Biobeat
• Diasorin</t>
  </si>
  <si>
    <t xml:space="preserve"> ◦ "On August 20th, SNIBE announced that 18 of its chemiluminescence reagent products had received IVDR certification from TÜV SÜD."
    ◦ "This achievement marks another milestone for Chinese companies in IVDR compliance, following similar successes by Mindray and Autobio, clearing the path for market access in Europe."
    ◦ "To date, SNIBE has obtained IVDR CE certification for a total of 211 chemiluminescence reagent products and 67 biochemical reagent products."
    ◦ "In compliance with the EU In Vitro Diagnostic Medical Device Regulation, these products meet the necessary requirements for entering the EU market, which is expected to enhance the company’s overall competitiveness and positively impact its future operations."</t>
  </si>
  <si>
    <t>These quotes demonstrate that the primary barrier for Chinese IVD suppliers in Europe—the transition to the more stringent In Vitro Diagnostic Medical Device Regulation (IVDR)—is being actively overcome by leading players like Snibe, Mindray, and Autobio. This regulatory clearance is the essential legal prerequisite for any European expansion strategy.</t>
  </si>
  <si>
    <t xml:space="preserve"> ◦ "As a pioneer in the global expansion of China’s IVD industry, Wondfo has established a global service network covering over 150 countries and regions, with localized production bases in multiple countries."
    ◦ "This year, the company continues to deepen its global strategic layout and strengthen localized operations in key markets."
    ◦ "Roche Diagnostics has successfully localized the R&amp;D and production of multiple products..."</t>
  </si>
  <si>
    <t>These insights reveal a "localization" trend. While Roche is localizing in China to compete there, Chinese firms like Wondfo are adopting similar strategies globally. This suggests that future competition in Europe may not just be about exports, but about Chinese firms establishing local service networks and production to improve their competitive standing.</t>
  </si>
  <si>
    <t>The provided sources highlight a significant regulatory push by Chinese IVD manufacturers to solidify their presence in the EU market. Key players such as Snibe, Mindray, and Autobio have successfully achieved IVDR CE certification, which the sources describe as "clearing the path" for European market access. Beyond regulation, the dominant theme is globalization and localization; Chinese firms like Wondfo are expanding their "global service network" to over 150 countries, utilizing localized production to enhance competitiveness. While the sources detail successes in other regions—such as BGI’s centralized procurement win in Saudi Arabia and Wondfo’s establishment of a subsidiary in Russia—there is a notable gap in information regarding specific European countries like Germany, France, or the UK. Furthermore, the sources do not address critical market entry factors such as European reimbursement rates or customer receptivity among EU lab professionals. The primary assumption in the text is that regulatory compliance will "positively impact future operations," though it lacks evidence on how these firms will navigate European pricing or incumbent competition. Ultimately, the evidence suggests Chinese suppliers are aggressively removing regulatory hurdles to position themselves as long-term, localized competitors in the global IVD landscape.</t>
  </si>
  <si>
    <t>https://docs.google.com/document/d/1KWqiQRt4NvZuv2_3GC2UQWi7agGABNUshk7Pk_lRDTM/edit?tab=t.8bg42qfv4fnf</t>
  </si>
  <si>
    <t>Five China IVD Companies Obtained EU Quality Management System Certificate (IVDR)</t>
  </si>
  <si>
    <t>2020-2021</t>
  </si>
  <si>
    <t>A summary of multiple Chinese in vitro diagnostic (IVD) firms that have obtained European IVDR quality management system certificates, highlighting milestones for companies including Snibe Diagnostic, Mindray, Wondfo, YHLO, and Antobio as they transition from IVDD to IVDR compliance.</t>
  </si>
  <si>
    <t>https://en.caclp.com/industry-news/1160.html</t>
  </si>
  <si>
    <t>Wondfo, YHLO, AntoBio (also styled as Antobio), Biobeat, Sinopia Biosciences, and Diasorin</t>
  </si>
  <si>
    <t xml:space="preserve"> ◦ "As a 'visa' for products to enter the European market, CE certification is a mandatory requirement for product access in the EU market."</t>
  </si>
  <si>
    <t>This evidence highlights that regulatory compliance is the fundamental barrier to entry; without the CE "visa," commercial access to the European market is legally impossible.
• Assumptions/Contradictions/Gaps: The source assumes that obtaining a certificate automatically equates to market "access," whereas true market access often requires local reimbursement approvals and distribution networks, which are not discussed. There is a gap regarding specific reimbursement pathways or pricing strategies in Europe.</t>
  </si>
  <si>
    <t xml:space="preserve"> ◦ "From May 26, 2022, the European Union will begin to implement the In Vitro Diagnostic Medical Device Regulation EU 2017/746 (IVDR)."
    ◦ "In the transitional stage from IVDD to IVDR, some outstanding China IVD companies have taken the lead in obtaining IVDR certificates."
    ◦ "In December 2020, Shenzhen New Industries Biomedical Engineering Co., Ltd. announced that its agonist and tumor marker products has obtained the first IVDR CE certificate in the field of chemiluminescence in China."
    ◦ "In January 2021, Mindray's biochemical project β2-microglobulin (β2-mG) determination kit obtained the first biochemical project IVDR CE certificate issued by TüV in China."
    ◦ "In August 2021, Guangzhou Wondfo Biotech Co., Ltd. obtained the first IVDR quality management system certificate in the field of POCT in China."</t>
  </si>
  <si>
    <t>The shift from IVDD to IVDR represents a significant regulatory hurdle; the fact that Chinese firms are among the first to secure these certificates suggests a high level of regulatory preparedness and a strategic intent to maintain uninterrupted European market presence.
• Assumptions/Contradictions/Gaps: The source implies these companies are "outstanding" for being first, but it does not provide a comparative context of how many European or US companies had already achieved certification at that time</t>
  </si>
  <si>
    <t xml:space="preserve"> ◦ "The glycosylated hemoglobin test kit and C-reactive protein test kit became the first group of NP products (NearPatient Testing) that obtained IVDR CE certification in China."
    ◦ "In October 2021, 14 products including Anti-TPO and PCT of YHLO’s luminescence project won the IVDR CE certificate issued by BSI."
    ◦ "AntoBio Diagnostics Co., Ltd. announced that its thyroid functional magnetic particle chemiluminescence series reagent has obtained the EU IVDR CE certification."</t>
  </si>
  <si>
    <t xml:space="preserve">The specific mention of POCT (Near-Patient Testing) and chemiluminescence (tumor markers, thyroid function) indicates the specific product segments where Chinese suppliers are concentrating their competitive efforts in Europe.
• Assumptions/Contradictions/Gaps: There is a gap in information regarding the actual performance or clinical validity of these tests compared to established European incumbents.
</t>
  </si>
  <si>
    <t>The sources indicate a proactive strategic push by major Chinese IVD players—specifically Mindray, Snibe, Wondfo, YHLO, and AntoBio—to secure early compliance with the EU’s In Vitro Diagnostic Medical Device Regulation (IVDR). Regulatory certification is framed as the essential "visa" for European Union market access, with several firms achieving "firsts" in categories like chemiluminescence, biochemistry, and POCT between 2020 and 2021. This early adoption suggests an opportunity for these companies to gain a foothold while the market transitions away from the older IVDD framework. However, the evidence is strictly limited to regulatory milestones and does not address actual reimbursement levels, budgetary constraints, or how European customers perceive these brands. A significant gap remains regarding the commercial execution and the competitive landscape involving European domestic manufacturers. Consequently, while the "regulatory door" is open, the potential for widespread adoption and the risks associated with local market dynamics are not yet documented in these materials.
To understand this regulatory transition, one might think of the IVDR certificate as a passport; while it grants these companies legal entry at the border, it does not guarantee they will be invited to the table or find success in the local economy.</t>
  </si>
  <si>
    <t>https://docs.google.com/document/d/1KWqiQRt4NvZuv2_3GC2UQWi7agGABNUshk7Pk_lRDTM/edit?tab=t.s0ioal8sz2ko</t>
  </si>
  <si>
    <t>2024 Financial Performance of China’s Listed IVD Companies</t>
  </si>
  <si>
    <t>The article summarises the 2024 financial performance of China’s listed IVD companies: among 82 listed firms, 61 focus primarily on IVD and 21 have IVD as part of broader portfolios. The 59 IVD‑focused companies that released full 2024 results together reported total revenue of CNY 139.28 billion. The top revenue‑generating companies were Mindray Medical, DAAN Gene and Runda Medical — with Mindray’s IVD division alone generating CNY 13.76 billion, and becoming its largest business segment. The report also gives net‑profit data, R&amp;D‑investment trends, and highlights companies with strong growth as well as those facing headwinds</t>
  </si>
  <si>
    <t>https://en.caclp.com/industry-news/3349.html#:~:text=Among%20the%2021%20companies%20with,and%20provided%20sustainable%20revenue%20momentum.</t>
  </si>
  <si>
    <t>Germany</t>
  </si>
  <si>
    <t>DAAN Gene, Runda Medical, New Horizon Health, Mega Genomics, Sansure Biotech, Innovita, Biotest, AllTest, Gongdong Medical, Succeeder, Wondfo Biotech, Fosun Pharma, Livzon, EDAN, Autobio Diagnostics, Andon Health, DiaSys, Yestar, BOHUI, BGI, GenScript Biotech, Legend Biotech, Bioeasy, CWBio, Roche, BillionToOne, Pillar Biosciences, AstraZeneca.</t>
  </si>
  <si>
    <t>◦ "Lingering cost burdens from pandemic-era expansions and tighter macroeconomic and fiscal conditions."</t>
  </si>
  <si>
    <t>While this quote explains the decline in profit for specific Chinese companies (DAAN Gene and BGI), it highlights a universal external force: the constriction of fiscal budgets post-pandemic. For European expansion, this implies Chinese suppliers may face price-sensitive procurement environments.
• Assumptions/Gaps:
    ◦ Context Gap: The source attributes fiscal tightening to the context of Chinese companies' performance. It is an assumption to apply this directly to European hospital budgets based solely on this text, though it is a valid global trend.</t>
  </si>
  <si>
    <t xml:space="preserve"> ◦ "Mindray continued its global expansion by acquiring Germany’s DiaSys to strengthen local service capabilities, while also accelerating channel development in emerging markets."
    ◦ "Benefits from their expanding overseas markets, both Mindray and Autobio Diagnostics achieved simultaneous growth in revenue and net profit, with overseas revenue rising by 21.28% and 27.6% respectively."
    ◦ "Mindray’s international IVD business grew by over 30% year-on-year."
    ◦ "These gains were largely driven by continuous product innovation and expansion in diagnostic reagent categories, which helped build niche market advantages and provided sustainable revenue momentum."</t>
  </si>
  <si>
    <t>Mindray’s acquisition of a German entity explicitly addresses a major barrier to customer adoption: local service capabilities. European customers demand rapid support, which remote suppliers cannot provide. The double-digit growth in "overseas revenue" for Mindray and Autobio indicates increasing receptivity to Chinese products globally, suggesting that barriers to adoption (such as trust or quality perception) are decreasing.
• Assumptions/Gaps:
    ◦ Geographic Ambiguity: "Overseas revenue" is a broad category. While Germany is mentioned, we cannot determine how much of that 30% growth came specifically from Europe versus emerging markets (LATAM, APAC, Africa).</t>
  </si>
  <si>
    <t xml:space="preserve"> ◦ "Long-term demand remains strong, driven by population aging, rising chronic disease rates, growing health awareness, and ongoing healthcare reforms."
    ◦ "Cutting-edge technologies such as AI and automation are being rapidly integrated into product development."
    ◦ "As the industry shifts toward high-quality growth, technical barriers are rising."
    ◦ "Over half of the companies increased their R&amp;D spending, signaling a clear trend of continued investment in innovation."</t>
  </si>
  <si>
    <t>An aging population and chronic disease burden are universal demand drivers relevant to Europe. Technology: The shift toward AI and automation aligns with European laboratory trends seeking efficiency and labor-saving solutions. Competition: The note on "rising technical barriers" implies that low-cost, low-tech strategies may no longer be viable; Chinese firms are pivoting to high-R&amp;D strategies to compete with incumbents.</t>
  </si>
  <si>
    <t xml:space="preserve">The source evidence suggests a strategic pivot by top-tier Chinese IVD players, particularly Mindray, toward localization in Europe to drive expansion. The acquisition of Germany's DiaSys specifically targets the critical gap in "local service capabilities," a primary factor in customer adoption. While the document lacks specific European reimbursement data, the focus on "Understanding IVDR" and the achievement of CE Marks by competitors highlights the regulatory hurdles these firms must clear. Financially, while some domestic Chinese firms face losses due to "tighter macroeconomic conditions", export-focused companies like Mindray and Autobio are seeing "overseas revenue rising" significantly. This indicates a divergence where innovation-heavy companies investing in AI and automation are successfully penetrating international markets. However, a significant gap remains in the data regarding specific adoption rates across European countries outside of Germany.
</t>
  </si>
  <si>
    <t>https://docs.google.com/document/d/1KWqiQRt4NvZuv2_3GC2UQWi7agGABNUshk7Pk_lRDTM/edit?tab=t.kqhkm9jneo58</t>
  </si>
  <si>
    <t>Over 40 Chinese IVD companies granted CE for monkeypox virus nucleic acid detection kits</t>
  </si>
  <si>
    <t>Reports that in response to the monkeypox outbreak, more than 40 Chinese in vitro diagnostic (IVD) companies had been granted the EU CE certification or access for their monkeypox virus nucleic acid detection reagent products as of late May 2022, highlighting the rapid development and regulatory progress in this test segment.</t>
  </si>
  <si>
    <t>https://en.caclp.com/industry-news/1480.html</t>
  </si>
  <si>
    <t>Autobio Diagnostics Co., Ltd., Guangzhou Wondfo Biotech Co., Ltd., Sansure Biotech Inc., Beijing Hotgen Biotech Co., Ltd., Zhejiang Orient Gene Biotech Co., Ltd., Shanghai Kehua Bio-engineering Co., Ltd., Shanghai ZJ Bio-Tech Co., Ltd., DaAn Gene Co., Ltd., Dian Diagnostics Group Co., Ltd., Subsidiary of Runda Medical, Getein Biotech, Inc., Shenzhen MGI Tech Co., Ltd., Beijing BGI-GBI Biotech Co., Ltd., Jinan Babio Biotechnology Co., Ltd., Nanjing Synthgene Medical Technology Co., Ltd., Beijing Applied Biological Technologies Co., Ltd., Zhejiang TopstroMed Medical Technology Co., Ltd., Bioantibody Biotechnology Co., Ltd., Shanghai Rendu Biotechnology Co., Ltd., Shanghai BioGerm Medical Technology Co., Ltd., Jiangsu Macro &amp; Micro-Test Med-Tech Co., Ltd., Jiangsu Bioperfectus Technologies Co., Ltd., Guangdong Ardent BioMed Co., Ltd., Shenzhen Reetoo Biotechnology Co., Ltd., Hangzhou Biotest Biotech Co., Ltd., Jiangsu Mole Bioscience Co., Ltd., Guangzhou Hybribio Biotech Ltd., Beijing Zhongjian Antai Diagnostic Technology Co., Ltd., Cofoe Medical Technology Co., Ltd., Microfluidic &amp; Health Biological Co., Ltd., Beijing Bohui Innovation Biotechnology Co., Ltd., Shanghai Outdo Biotech Co., Ltd., Shenzhen CAS-Envision Medical Technology Co., Ltd., Beijing Lepu Medical Technology Co., Ltd., Dynamiker Biotechnology (Tianjin) Co., Ltd., Wuxi Techstar Technology Co., Ltd., Shandong Kanghua Biotechnology Co., Ltd., Abiores Technology (Beijing) Co., Ltd., Suzhou Bacme Biotech Co., Ltd., Guangdong Huayin Medicine Science Co., Ltd., Biochain Beijing Technology Co., Ltd., Hangzhou Testsea Biotechnology Co., Ltd., and Henan OriginBio Technology Co., Ltd</t>
  </si>
  <si>
    <t>"As of May 27, more than 40 CN IVD enterprises have granted the EU CE certificate or access for monkeypox virus nucleic acid detection reagent products!"</t>
  </si>
  <si>
    <t>This confirms that a high volume of Chinese manufacturers can successfully navigate European regulatory frameworks (specifically CE marking) for rapid-response molecular diagnostics.
• Assumptions: The source assumes "CE certificate" is synonymous with "access," though in the IVD market, market entry often requires additional national registrations or clinical evidence.</t>
  </si>
  <si>
    <t>"effectively helping overseas to carry out the monkeypox virus prevention."</t>
  </si>
  <si>
    <t xml:space="preserve"> This suggests that Chinese IVD products are being adopted by international (overseas) healthcare systems to manage public health emergencies, indicating a level of clinical trust or necessity.
• Gaps: The source does not provide data on the volume of kits sold or specific feedback from European laboratory directors or clinicians regarding the performance of these kits compared to local competitors.</t>
  </si>
  <si>
    <t>"In the face of the sudden monkeypox virus epidemic, many Chinese in vitro diagnostic enterprises responded quickly, completed the R &amp; D and launched the monkeypox virus nucleic acid detection kit at the first time"</t>
  </si>
  <si>
    <t>This highlights the competitive advantage of Chinese IVD firms: speed of development and the ability to scale production rapidly during a health crisis.
• Contradictions: The company list provided in the sources contains a numbering error, listing "33" twice for different companies and skipping "34"</t>
  </si>
  <si>
    <t xml:space="preserve">The provided sources highlight a significant trend of Chinese IVD suppliers aggressively pursuing the European market through rapid product development during health crises, such as the monkeypox epidemic. While major players like Mindray and Snibe are absent from this specific documentation, over 40 other Chinese firms, including Wondfo, Sansure, and BGI, have successfully obtained EU CE certification. This regulatory success indicates a baseline capability to meet European technical standards. The themes of speed and agility are central to their strategy, as they aim to be "first to market" with emerging pathogen detection kits. However, the evidence is strictly limited to the regulatory entry point; there is a total gap in information regarding national-level geography (such as France or Germany), specific reimbursement pathways, and long-term customer receptivity beyond emergency use. Strategically, these firms appear to use public health emergencies as a "gateway" for European expansion, though the transition from emergency certification to permanent market share remains unproven in this data.
</t>
  </si>
  <si>
    <t>https://docs.google.com/document/d/1KWqiQRt4NvZuv2_3GC2UQWi7agGABNUshk7Pk_lRDTM/edit?tab=t.ak33gswga5js</t>
  </si>
  <si>
    <t>IVD China last week: Mindray, YHLO, Mirxes</t>
  </si>
  <si>
    <t>A weekly industry news roundup covering: a visit by Turkey’s Minister of Health to Mindray’s Shenzhen HQ and discussions on cooperation; YHLO obtaining the highest-risk class (Class D) IVDR CE certification for two products; Mirxes joining Southbound Trading under the Shanghai-Hong Kong Stock Connect and its FDA Breakthrough Device designation for an early cancer detection product; and the launch of the China-Russia Medical Technology Cooperation Center in Pudong to support exports of Chinese medical devices.</t>
  </si>
  <si>
    <t>https://en.caclp.com/industry-news/3567.html</t>
  </si>
  <si>
    <t>Mindray</t>
  </si>
  <si>
    <t xml:space="preserve"> YHLO Biotech, Mirxes, Biobeat, Diasorin, and Sinopia Biosciences.</t>
  </si>
  <si>
    <t xml:space="preserve"> ◦ "Shenzhen YHLO Biotech Obtains IVDR CE Class D Certification for Two Products".
    ◦ "successfully obtained the IVDR CE highest risk class (Class D) certification formally issued by BSI Group The Netherlands B.V.".
    ◦ "quality, safety and efficacy of YHLO’s products fully comply with the top-tier requirements of the EU’s In Vitro Diagnostic Regulation (IVDR)".
    ◦ "The Cooperation Center has set up this first Russian-authorized 'Medical Device Registration Service Station' to simplify the registration process of China medical devices in Russia"</t>
  </si>
  <si>
    <t>Obtaining IVDR Class D certification is a major regulatory milestone; it signals that Chinese manufacturers can meet the most stringent safety and efficacy standards required to operate in the EU. Simplified registration centers, as seen in Russia, serve as strategic models for accelerating market entry.
• Gaps: While YHLO has achieved Class D, the sources do not specify if other major players like Mindray have achieved similar IVDR status for their high-risk assays.</t>
  </si>
  <si>
    <t xml:space="preserve">  ◦ "Mindray first entered the Turkish market in 2000... local employees accounting for 90% of its workforce in Turkey. The company now serves over 1,300 medical institutions across the entire country".
    ◦ "Minister Memişoğlu stated that... he believes their cooperation will not only achieve win-win results but also further enhance the health and well-being of the people of both countries".
    ◦ "which will provide strong impetus for the sales and promotion of its products in the European market".</t>
  </si>
  <si>
    <t xml:space="preserve"> High adoption rates in Turkey (1,300+ institutions) and a localized workforce strategy suggest a blueprint for successful expansion into European territories. High-level political visits indicate that government-level receptivity is a key facilitator for Chinese IVD firms.</t>
  </si>
  <si>
    <t xml:space="preserve">  ◦ "potential cooperation opportunities in areas including localized production, digital and intelligent transformation, industry-academia-research collaboration, international exchanges, and talent development".
    ◦ "in 2024, China's export volume of medical equipment to Russia exceeded 1.8 billion US dollars".
    ◦ "Mirxes... gastric cancer early detection product GASTROClear™ has been awarded the U.S. FDA Breakthrough Device Designation".</t>
  </si>
  <si>
    <t xml:space="preserve">Chinese firms are shifting from pure export models to localized production and digital transformation, which integrates them more deeply into local healthcare infrastructures. The high export volume to Russia ($1.8B) highlights China's growing dominance in the regional IVD supply chain. Innovation in early cancer detection (Mirxes) shows Chinese-linked firms are competing on clinical novelty, not just cost.
</t>
  </si>
  <si>
    <t>The expansion of Chinese IVD suppliers into the European sphere is currently characterized by strategic regulatory alignment and localized operations in peripheral markets. A primary theme is the transition to IVDR compliance, with companies like YHLO achieving high-risk Class D certification, which serves as a necessary gateway for EU market entry. Mindray’s success in Turkey, where it serves over 1,300 institutions with a 90% local workforce, provides a proven model for regional adoption. While specific Western European giants like Germany or France are not mentioned, the "European market" is a clear strategic target for these firms. Significant growth is noted in Russia, where demand for Chinese IVD reagents is rising by 35% annually. Opportunities lie in clinical innovation, such as Mirxes' FDA-recognized cancer detection and the move toward digital transformation. However, a critical gap remains: the sources provide no information on reimbursement strategies or budget structures within the EU, which are essential for long-term commercial viability. Furthermore, there is a contradiction or tension between the push for "localized production" and the centralized "export" centers described in the Russia-China collaboration. Overall, Chinese suppliers are aggressively removing regulatory barriers to prepare for a broader European push.</t>
  </si>
  <si>
    <t>https://docs.google.com/document/d/1KWqiQRt4NvZuv2_3GC2UQWi7agGABNUshk7Pk_lRDTM/edit?tab=t.ruwhwhwokyne</t>
  </si>
  <si>
    <t>CAIVD × CPCEM × CACLP Delegation Attends EUROMEDLAB 2025, Engaging in Global Dialogue on IVD Innovation and Collaboration</t>
  </si>
  <si>
    <t>The release announces that a high‑level delegation from CAIVD, CPCEM and CACLP attended EUROMEDLAB 2025 (Congress of Clinical Chemistry and Laboratory Medicine) in Brussels. The delegation met with representatives from major international bodies (IFCC, EFLM) to discuss IVD standardization, market access, and global collaboration. It emphasizes that many leading Chinese IVD companies participated as exhibitors — underlining China’s growing presence, innovation capacity, and global ambitions in the diagnostics sector.</t>
  </si>
  <si>
    <t>https://en.caclp.com/press-release/3381.html</t>
  </si>
  <si>
    <t>Belgium</t>
  </si>
  <si>
    <t xml:space="preserve">Wantai Biopharm, Zybio, Autobio, Wondfo, Yhlo, Dirui, Urit Medical Electronic, Dymind, Medcaptain, Lifotronic, Orient Gene, Medconn, Liferiver, Maccura, Keyu Biological Engineering, Edan, Anbio Biotechnology, Chemclin Diagnostics, Improve Medical.
</t>
  </si>
  <si>
    <t xml:space="preserve"> ◦ "The topics covered Sino-European collaboration in the IVD field including standardization initiatives, and market access strategies..."</t>
  </si>
  <si>
    <t>◦ This evidence confirms that "market access" is a primary agenda item for Chinese delegations meeting with European federations (EFLM), indicating a strategic shift from simple export to navigating complex entry barriers.</t>
  </si>
  <si>
    <t xml:space="preserve"> ◦ "A high-level delegation... was invited to attend and take part in global discussions shaping the future of the in-vitro diagnostics (IVD) industry."
    ◦ "EUROMEDLAB 2025 also saw a strong presence from leading Chinese IVD companies. Their participation underscored the innovation, competitiveness, and global ambition of China's diagnostics sector."</t>
  </si>
  <si>
    <t>◦ The fact that the delegation was "invited" suggests an openness from European professional bodies (EFLM) to engage with Chinese suppliers. The "strong presence" of exhibitors highlights a supply-side push, positioning these companies as competitive alternatives to established Western players.</t>
  </si>
  <si>
    <t xml:space="preserve">◦ "During the event, the delegation engaged in in-depth discussions with representatives from leading international organizations —— the International Federation of Clinical Chemistry and Laboratory Medicine (IFCC) and the European Federation of Clinical Chemistry and Laboratory Medicine (EFLM)."
    ◦ "The topics covered Sino-European collaboration in the IVD field... fostering new opportunities for high-quality global cooperation."
</t>
  </si>
  <si>
    <t xml:space="preserve"> ◦ Strategic Alliances: Engaging directly with the EFLM (European Federation of Clinical Chemistry and Laboratory Medicine) is a high-level strategic move to gain credibility and influence within the European laboratory community, rather than relying solely on distributors.
    ◦ Scale of Competition: The source lists over 20 Chinese manufacturers exhibiting at a single European event, signaling a massive, coordinated effort to saturate the market across various testing modalities (immunoassay, molecular, etc.).</t>
  </si>
  <si>
    <t xml:space="preserve">The provided evidence underscores a concerted, high-level push by Chinese IVD suppliers to expand into the European market, centered around Brussels, Belgium during EUROMEDLAB 2025. Key industry players, including Mindray, Snibe, and Autobio, are leveraging association-led diplomacy to engage directly with European gatekeepers like the EFLM. The strategy focuses heavily on overcoming regulatory hurdles, evidenced by the emphasis on "Understanding IVDR" and "standardization initiatives," and establishing market access strategies. While the supply-side ambition is clear through the "strong presence" of over 20 exhibitors, the source reveals a gap in evidence regarding actual European budget allocation or end-user adoption rates. The primary opportunity identified is Sino-European collaboration, while the implied risk remains the complexity of compliance (IVDR) and the need to transition from exhibition presence to tangible market share.
</t>
  </si>
  <si>
    <t>https://docs.google.com/document/d/1KWqiQRt4NvZuv2_3GC2UQWi7agGABNUshk7Pk_lRDTM/edit?tab=t.p0ocel2htuvo</t>
  </si>
  <si>
    <t>Snibe makes an entry at EuroMedLab</t>
  </si>
  <si>
    <t>Healthcare-in-Europe.com</t>
  </si>
  <si>
    <t>News</t>
  </si>
  <si>
    <t>The article reports that Snibe (Shenzhen New Industries Biomedical Engineering Co., Ltd.), a Chinese biomedical-technology company, is entering the European market through an appearance at EuroMedLab. It outlines Snibe’s background, scale (installations in over 70 countries), product portfolio (immunoassay, biochemistry, electrolyte analyzers; Maglumi series), export strategy to Europe via distributors across various European countries, and its development pipeline</t>
  </si>
  <si>
    <t>https://healthcare-in-europe.com/en/news/snibe-makes-an-entry-at-euromedlab.html#:~:text=%E2%80%98Our%20exports%20to%20Europe%20focus,It%E2%80%99s%20perfectly%C2%A0suited%2C%20for%20example%2C%20for</t>
  </si>
  <si>
    <t>Italy, Spain, Sweden, Serbia</t>
  </si>
  <si>
    <t xml:space="preserve">Snibe </t>
  </si>
  <si>
    <t>Dürr Technik, IBA Dosimetry, Dunlee – Philips Medical Systems DMC GmbH, Beckman Coulter Diagnostics.</t>
  </si>
  <si>
    <t>"Our overall aim is to improve the life for patients at a global scale – through innovative diagnostic tools at reasonable cost."</t>
  </si>
  <si>
    <t>This emphasizes a strategic focus on competitive pricing, which is critical for market access and volume procurement in European health systems where cost control is a primary driver of purchasing decisions and reimbursement pathways.</t>
  </si>
  <si>
    <t>"Maglumi 600 is what we call a Super POCT – it lets you perform tests with roughly 100 parameters on this compact machine. It’s perfectly suited, for example, for emergency departments, small hospitals and small labs."</t>
  </si>
  <si>
    <t>Snibe is targeting specific segments of the laboratory infrastructure that may have smaller capital expenditure budgets or decentralized testing needs. This segmentation strategy allows Snibe to penetrate the market without directly competing for large-scale contracts in central, high-throughput laboratories which are typically dominated by incumbent IVD vendors.</t>
  </si>
  <si>
    <t>"TUV certification ISO 9001, ISO 13485"</t>
  </si>
  <si>
    <t>ISO 9001 and ISO 13485 are essential quality management system standards for medical devices. Possession of these certifications demonstrates compliance with international quality requirements, which are foundational for obtaining the necessary regulatory approvals (like the CE mark) required to sell IVD products in Europe.</t>
  </si>
  <si>
    <t>"Our exports to Europe focus on immunoassay – the Maglumi 1000, 2000, and 2000 Plus." 
"We have started, rather recently, and are now in the process of promoting the brand." 
"We work with distributors; currently, we export to 18 countries through distributors – for example, DiaSystem Scandinavia AB in Sweden, Medical Systems S.p.A. in Italy, RAL Técnica para el laboratorio,s.a. in Spain, Labteh export-import doo in Serbia." 
"At EuroMedLab in Milan this year, we will present our brand new products-Maglumi 600 and Maglumi 4000."</t>
  </si>
  <si>
    <t>Snibe is using a focused product strategy, concentrating European exports on specific immunoassay models. The active process of "promoting the brand" suggests recognition that overcoming brand inertia and achieving trust among European lab professionals requires deliberate effort. Furthermore, utilizing established local distributors across 18 countries, including key regions like Sweden, Italy, and Spain, is a necessary approach for market penetration and managing essential local service and sales relationships. Participation in major events like EuroMedLab is vital for direct engagement and showcasing new technologies such as the Maglumi 600 and 4000</t>
  </si>
  <si>
    <t xml:space="preserve">"We are the only chemiluminescent immunoassay system manufacturer that produces the instruments as well as reagent kits, with a huge range of parameters." 
"EuroMedLab will play a key role in that strategy [internationalisation]."
 "We intend to become, within five to ten years, the major international supplier for immunoassay system worldwide." </t>
  </si>
  <si>
    <t xml:space="preserve">Snibe's vertical integration—producing both instruments and reagent kits—is a significant competitive advantage that enables control over quality, supply chain, and pricing, enhancing its offering relative to fragmented competitors. The company views participation in events like EuroMedLab as strategically crucial for its internationalization goals. This expansion is driven by an ambitious long-term objective to become the major international supplier for immunoassay systems worldwide within five to ten years, signaling aggressive investment and competitive pressure on incumbents. The source also notes the specific competitive environment by mentioning products from entrenched players like Beckman Coulter.
</t>
  </si>
  <si>
    <t>Snibe is aggressively pursuing European market penetration, viewing EuroMedLab as a key strategic launching point for its internationalization objectives. The primary theme driving Snibe's opportunity is providing innovative diagnostic tools at a reasonable cost, which aligns well with the cost-control environment inherent in European access and reimbursement systems. Geographically, the initial strategy confirms existing distribution channels in 18 countries, specifically noting partnerships in Italy, Spain, Sweden, and Serbia. From a regulatory standpoint, the firm possesses fundamental quality controls demonstrated by TUV certification of ISO 9001 and ISO 13485. A major opportunity lies in Snibe's vertical integration, as it is the only CLIA manufacturer producing both instruments and reagent kits, allowing for potential bundling and system optimization. Adoption is being targeted through the promotion of the brand and focusing smaller, specialized IVD systems like the Maglumi 600 toward smaller hospitals and emergency departments, minimizing initial direct confrontation with core lab competitors. The most significant external risk comes from established immunoassay giants like Beckman Coulter Diagnostics, whose systems already dominate the market. Strategic gaps remain concerning the details of how Snibe will successfully navigate country-specific reimbursement policies and complex tendering processes or confirm full IVDR compliance. Snibe's clear goal to become the major global immunoassay supplier within a decade highlights the intense competitive trajectory forecasted for the IVD segment.</t>
  </si>
  <si>
    <r>
      <rPr>
        <rFont val="Roche Sans"/>
        <color rgb="FF1155CC"/>
        <u/>
      </rPr>
      <t>https://docs.google.com/document/d/1KWqiQRt4NvZuv2_3GC2UQWi7agGABNUshk7Pk_lRDTM/edit?tab=t.d1a66o4uqg2m</t>
    </r>
    <r>
      <rPr>
        <rFont val="Roche Sans"/>
        <color rgb="FF000000"/>
      </rPr>
      <t xml:space="preserve"> </t>
    </r>
  </si>
  <si>
    <t>Mindray In-Vitro Diagnostics</t>
  </si>
  <si>
    <t>HealthManagement.org</t>
  </si>
  <si>
    <t>Report</t>
  </si>
  <si>
    <t>The profile describes Mindray Bio-medical Electronics Co.,Ltd. (Mindray) — founded in 1991 — as a global developer, manufacturer and marketer of medical-device solutions, with three business segments: In-Vitro Diagnostics (IVD), Patient Monitoring &amp; Life Support, and Medical Imaging Systems. 
HealthManagement
 It notes that Mindray’s products are used in healthcare facilities in over 190 countries and regions, with 29 branch offices in China plus overseas subsidiaries in many countries (including those in Europe). 
HealthManagement
 The page also lists many of Mindray’s IVD products (hematology analyzers, biochemistry analyzers, immunoassay analyzers, etc.). 
HealthManagement
 Additionally, it highlights that roughly 10% of revenue is reinvested into R&amp;D each year and that on average eight new products a year have been released over the past several years. 
HealthManagement</t>
  </si>
  <si>
    <t>https://healthmanagement.org/site/p/mindray-in-vitro-diagnostics#:~:text=Health%20care%20facilities%20equipped%20with,S</t>
  </si>
  <si>
    <t>France, Germany, Italy, the UK, the Netherlands, Russia, Turkey, Belgium, Cyprus.</t>
  </si>
  <si>
    <t>• "Health care facilities equipped with Mindray’s products can be found in over 190 countries and regions."
• "...overseas subsidiaries in Brazil, Canada, France, Germany, India, Indonesia, Italy, Mexico, the Netherlands, Russia, Turkey, the UK and the U.S."
• "Additionally, the acquisition of Datascope Corporation's patient monitoring business has added significant direct sales and service capabilities on the ground in the U.S. and Western Europe."</t>
  </si>
  <si>
    <t>• The widespread presence in "over 190 countries and regions" indicates established international logistical capability and a global track record, which enhances customer confidence.
• The existence of overseas subsidiaries in key economies like France, Germany, Italy, and the UK demonstrates significant commitment to the European market and provides local infrastructure necessary for sales and support.
• The acquisition of the Datascope patient monitoring business allowed Mindray to secure "significant direct sales and service capabilities on the ground in the U.S. and Western Europe". This capability is critical for IVD adoption, as customers often prioritize reliable, local service and support.</t>
  </si>
  <si>
    <t>• "Mindray was founded in 1991 with the goal of delivering high-quality, competitively priced medical devices to make healthcare more accessible and affordable around the world."
• "In-Vitro Diagnostic Products, Patient Monitoring and Life Support Products and Medical Imaging Systems."
• "Mindray has a global R&amp;D network with research centers in Shenzhen, Beijing, Nanjing, Seattle, New Jersey and Stockholm."
• "Approximately 10% of total revenue has been consistently re-invested into R&amp;D each year."
• "In 2006, Mindray listed on the New York Stock Exchange and is now a leading developer, manufacturer and marketer of medical devices worldwide."</t>
  </si>
  <si>
    <t xml:space="preserve">• IVD products are confirmed as one of Mindray’s three established business segments, highlighting it as a core corporate focus area.
• The strategic goal of providing "competitively priced medical devices" suggests a market entry and pricing strategy designed to capture budget-sensitive customers globally, which is highly relevant in tender-driven European markets.
• The company's listing on the NYSE in 2006 and status as a "leading developer, manufacturer and marketer" indicates corporate maturity and financial stability, often prerequisites for securing large European hospital contracts.
• The significant R&amp;D investment (10% of total revenue consistently re-invested) and the presence of a research center in Stockholm (Europe) demonstrate a commitment to innovation and global relevance, crucial for long-term competitiveness against established players.
</t>
  </si>
  <si>
    <t>Mindray, as a major Chinese IVD supplier, shows strong foundational opportunities for further expansion in Europe due to its status as a "leading developer" and its commitment to offering "competitively priced medical devices" globally. The company has already established significant physical infrastructure, evidenced by overseas subsidiaries in key geographies including France, Germany, Italy, and the UK, and confirmed direct sales and service capabilities across Western Europe following the Datascope acquisition. This established local presence is crucial for overcoming customer adoption barriers, as it assures potential European clients of reliable support. Furthermore, Mindray's consistent reinvestment of approximately 10% of total revenue into a global R&amp;D network, which includes a site in Stockholm, suggests long-term dedication to innovation necessary to meet sophisticated European market needs. However, a significant risk and information gap exists because the sources provide no specific insights into the critical European regulatory requirements, such namely the current IVDR landscape, nor do they detail the specifics of European access and reimbursement mechanisms or national budget structures. The expansion potential is high for market penetration based on established infrastructure and pricing strategy, but the financial viability and market authorization processes remain unevaluated strategic risks.</t>
  </si>
  <si>
    <r>
      <rPr>
        <rFont val="Roche Sans"/>
        <color rgb="FF1155CC"/>
        <u/>
      </rPr>
      <t>https://docs.google.com/document/d/1KWqiQRt4NvZuv2_3GC2UQWi7agGABNUshk7Pk_lRDTM/edit?tab=t.xy3ptsvwrlui</t>
    </r>
    <r>
      <rPr>
        <rFont val="Roche Sans"/>
        <color rgb="FF000000"/>
      </rPr>
      <t xml:space="preserve"> </t>
    </r>
  </si>
  <si>
    <t>Mindray Completes Acquisition of HyTest</t>
  </si>
  <si>
    <t xml:space="preserve">HyTest (hytest.fi) </t>
  </si>
  <si>
    <t>The article announces that Mindray has completed acquisition of HyTest Invest Oy and its subsidiaries — a global supplier of antibodies and antigens for the in-vitro diagnostics (IVD) market. It highlights that the acquisition gives Mindray access to “top-notch raw material R&amp;D and innovation capabilities,” enabling enhanced R&amp;D, product development, and strengthening of Mindray's position in upstream IVD raw-material supply.</t>
  </si>
  <si>
    <t>https://hytest.fi/news/mindray-completes-acquisition-of-hytest</t>
  </si>
  <si>
    <t xml:space="preserve">Mindray </t>
  </si>
  <si>
    <t xml:space="preserve">HyTest Invest Oy and its subsidiaries (“HyTest”)
</t>
  </si>
  <si>
    <t xml:space="preserve"> ◦ “Mindray Completes Acquisition of HyTest”.
    ◦ “a global leading provider of antibodies and antigens focused on IVD market.”.
    ◦ “Closing the acquisition of HyTest enables us to have top-notch raw material R&amp;D and innovation capabilities.”.
    ◦ “HyTest’s cardiac troponin complex material was chosen by AACC as a raw material for the international troponin standard.”.
    ◦ “We will support HyTest to keep investing in R&amp;D as well as strengthen and improve its key competitive edge,”.</t>
  </si>
  <si>
    <t>This body of evidence reveals a clear strategic shift by a leading Chinese supplier, Mindray, toward competing on quality and innovation by acquiring an established European leader (HyTest) known for high-quality upstream materials. This transaction secures "top-notch raw material R&amp;D and innovation capabilities", leveraging HyTest’s established, third-party validated credibility (e.g., providing material for the "international troponin standard"), and provides a physical EU presence in Finland, addressing the critical need for advanced technology and European credibility required for successful long-term expansion in the high-value IVD market.</t>
  </si>
  <si>
    <t>Mindray, a leading Chinese supplier, is actively shaping the future IVD market through the strategic acquisition of HyTest, a "global leading provider of antibodies and antigens focused on IVD market". The overarching strategic theme is a pivot toward technological leadership, as Mindray seeks "top-notch raw material R&amp;D and innovation capabilities", positioning itself to compete on quality rather than solely cost, which is crucial for European market acceptance. This action establishes a valuable European operational foothold in Finland and leverages HyTest’s established, third-party validated credibility, particularly in critical areas where its material was chosen for the "international troponin standard". The primary opportunity for Mindray is leveraging this enhanced quality and European presence to improve customer receptivity and adoption of its final IVD systems. However, a comprehensive evaluation of the expansion potential reveals crucial gaps, most significantly the total absence of evidence concerning strategies for overcoming complex European Access &amp; Reimbursement systems or dealing with national Budget Spend constraints. The sources also fail to address the specific Regulatory burden for finished IVD devices or Mindray's plans for expansion into the high-volume markets beyond Finland. These gaps highlight the key risks and unknowns surrounding Mindray’s downstream commercial success in Europe.</t>
  </si>
  <si>
    <r>
      <rPr>
        <rFont val="Roche Sans"/>
        <color rgb="FF1155CC"/>
        <u/>
      </rPr>
      <t>https://docs.google.com/document/d/1KWqiQRt4NvZuv2_3GC2UQWi7agGABNUshk7Pk_lRDTM/edit?tab=t.s5cw2l4j9f0t</t>
    </r>
    <r>
      <rPr>
        <rFont val="Roche Sans"/>
        <color rgb="FF000000"/>
      </rPr>
      <t xml:space="preserve"> </t>
    </r>
  </si>
  <si>
    <t>By 2023, 23 Chinese IVD companies will have 4,012 certified products in Europe and the United States!</t>
  </si>
  <si>
    <t>iNews</t>
  </si>
  <si>
    <t>News / Industry Report Summary</t>
  </si>
  <si>
    <t>The article reports that in 2023, 23 Chinese IVD listed companies obtained a total of 4,012 registration certificates for products in Europe (4,001) and the U.S. (11). Companies with &gt;100 registered products include Shengxiang Biotechnology, Mindray, Yirui Biotechnology, Daan Gene, Shuoshi Biotechnology, Kehua Biotechnology, and Anxu Biotechnology. The article highlights opportunities, challenges, and global expansion strategies of Chinese IVD companies, emphasizing overseas growth, technical improvement, and international brand building.</t>
  </si>
  <si>
    <t>https://inf.news/en/economy/05703949a08a4f75f598ad8a52850b03.html</t>
  </si>
  <si>
    <t xml:space="preserve">Shengxiang Biotechnology, Yirui Biotechnology, Daan Gene,, Shuoshi Biotechnology, Kehua Biotechnology, Anxu Biotechnology, Xiamen Biotech, Jiuan Medical, APHRON Japan Co., Ltd., Wondfo Biologics, Michael, Wantai.
</t>
  </si>
  <si>
    <t>◦ "According to statistics from the Institute of In Vitro Diagnostics Development of the Shanghai Institute of Experimental Medicine, in 2023, 23 Chinese in vitro diagnostic listed companies obtained European and American registration certificates (European Union/United States of America) throughout the year, with a total of 4,012 products."
    ◦ "Among them, 4,001 products obtained the European Registration Certificate (European Union)"
    ◦ "By 2023, 23 Chinese IVD companies will have 4,012 certified products in Europe and the United States!"
    ◦ "enterprises must strive for excellence, increase R&amp;D investment, and improve product quality and performance to meet the strict standards and requirements of the international market."
    ◦ "enterprises need to face many challenges such as cultural differences, laws and regulations, trade barriers , etc."</t>
  </si>
  <si>
    <t>The regulatory pathway for European market entry appears well-established and highly successful for Chinese IVD companies, evidenced by the 4,001 products securing the European Registration Certificate in 2023 alone. This demonstrates that suppliers are overcoming barriers to meet "strict standards and requirements of the international market". However, compliance is continuous, as regulatory challenges, alongside "laws and regulations" and "trade barriers," remain ongoing obstacles that firms must manage.</t>
  </si>
  <si>
    <t xml:space="preserve"> ◦ "the international in vitro diagnostic market has a broader customer base and consumer demand, which can greatly expand the market scale of manufacturers."
    ◦ "The medical needs of different countries and regions vary, which provides companies with diversified development space"
    ◦ "For example, during the epidemic, Xiamen Biotech Rapid Antigen Detection Kit and Jiuan Medical iHealth Kit both received orders worth tens of billions."
    ◦ "Success in the international market can enhance the company's global visibility and reputation, laying a solid foundation for the company's future development."</t>
  </si>
  <si>
    <t>Customer receptivity is validated by significant market expansion potential and demonstrated success in capturing demand. The ability to secure orders "worth tens of billions" during the epidemic (e.g., Xiamen Biotech and Jiuan Medical) provides strong evidence that Chinese suppliers can rapidly address urgent global medical needs. Furthermore, success abroad is recognized as a key driver for enhancing "global visibility and reputation," which is crucial for building long-term customer trust and sustained adoption.</t>
  </si>
  <si>
    <t xml:space="preserve"> ◦ "going overseas is gradually becoming the only way for Chinese in vitro diagnostic companies to develop."
    ◦ "participating in international competition can prompt enterprises to continuously improve their own technical level and innovation ability."
    ◦ "This competitive pressure will drive enterprises to make continuous progress, thereby enhancing their overall competitiveness."
    ◦ "Mindray has four major overseas R&amp;D centers in Silicon Valley, New Jersey , Seattle , and Europe."
    ◦ "enterprises need to face many challenges such as cultural differences, laws and regulations, trade barriers , etc."
    ◦ "it is these challenges that prompt enterprises to continuously optimize management models, enhance adaptability, and improve the ability to deal with risks."</t>
  </si>
  <si>
    <t xml:space="preserve">The primary external force shaping the IVD market is intense global competition, which necessitates that Chinese companies continually improve their technology, innovation capability, and product quality. Strategic commitment is demonstrated by key players like Mindray, which has established overseas R&amp;D centers, including one in Europe, signaling a long-term strategy for international integration rather than simple export. Strategically, international expansion serves to diversify market risks and reduce dependence on a single market. However, firms must continuously navigate "cultural differences" and "trade barriers," which forces the optimization of management models and risk adaptation.
</t>
  </si>
  <si>
    <t xml:space="preserve">Chinese IVD suppliers are undergoing mandatory internationalization, recognizing that going overseas is the only way for sustainable development. The primary external opportunity is access to a "broader customer base and consumer demand," which allows for market scale expansion and risk diversification. The expansion potential in Europe is robustly supported by regulatory success, with 23 companies obtaining 4,001 European Registration Certificates in 2023, confirming their ability to meet strict international product standards. Strategic commitment is high, exemplified by companies like Mindray maintaining overseas R&amp;D centers, including in Europe. Customer receptivity, particularly for high-volume needs, is proven by the successful capture of tens of billions in orders during the epidemic. Key risks include navigating regulatory changes, overcoming "cultural differences," and managing "trade barriers". However, the sources reveal critical gaps in evaluating long-term market sustainability, particularly the lack of evidence on specific access pathways, budget structures, and reimbursement strategies across individual European Union geographies. While Mindray and Daan Gene are key named actors, the broad focus on the European Union means specific country-level competition and adoption rates remain undefined. This rapid regulatory success acts like a key that unlocks the door to a new continent, but the actual journey of conquest still depends on navigating the complex local terrain of access and reimbursement.
</t>
  </si>
  <si>
    <r>
      <rPr>
        <rFont val="Roche Sans"/>
        <color rgb="FF1155CC"/>
        <u/>
      </rPr>
      <t>https://docs.google.com/document/d/1KWqiQRt4NvZuv2_3GC2UQWi7agGABNUshk7Pk_lRDTM/edit?tab=t.1j00obek4cv7</t>
    </r>
    <r>
      <rPr>
        <rFont val="Roche Sans"/>
        <color rgb="FF000000"/>
      </rPr>
      <t xml:space="preserve"> </t>
    </r>
  </si>
  <si>
    <t>The New Frontier in Medtech: Navigating China-EU Trade Tensions for Investment Gains</t>
  </si>
  <si>
    <t>Ainvest</t>
  </si>
  <si>
    <t>News / Market Commentary</t>
  </si>
  <si>
    <t>Article discusses how EU-China trade tensions in medtech (especially procurement restrictions under the International Procurement Instrument) are reshaping supply chains and investment opportunities for medtech firms, including the impacts on Chinese medical device manufacturers and strategic implications for localization and diversification.</t>
  </si>
  <si>
    <t>https://www.ainvest.com/news/frontier-medtech-navigating-china-eu-trade-tensions-investment-gains-2507/</t>
  </si>
  <si>
    <t>Germany, UK, France, Ital</t>
  </si>
  <si>
    <t>• "The escalating trade war between China and the EU over medical device procurement has created a seismic shift in global supply chains..."
• "...reciprocal restrictions take hold—excluding foreign firms from public tenders above certain thresholds and capping foreign-component usage..."
• "The EU's International Procurement Instrument (IPI), effective June 2025, bars Chinese medical device manufacturers from public contracts exceeding €5 million..."
• "...Chinese firms face a stark choice: either establish EU-based manufacturing (e.g., through joint ventures) or lose access to critical contracts.</t>
  </si>
  <si>
    <t>The primary barrier to market access for Chinese IVD suppliers is the International Procurement Instrument (IPI), which imposes threshold limits on public tenders. Effective June 2025, this instrument excludes Chinese manufacturers from critical contracts over €5 million, forcing them to localize production to regain access to the public procurement market. This directly limits the potential for expansion and makes gaining reimbursement (via successful tender bids) significantly more difficult for non-localized firms.</t>
  </si>
  <si>
    <t>• "The EU's International Procurement Instrument (IPI), effective June 2025, bars Chinese medical device manufacturers from public contracts exceeding €5 million..."
• "Localization costs: Companies like Fresenius (FRE.DE) or Stryker (SYK) may need to ramp up regional production hubs."
• "Supply chain inflation: Diversification costs could eat into margins unless passed on to consumers."</t>
  </si>
  <si>
    <t>The €5 million threshold dictates the upper limit of public funds Chinese suppliers can access without local production, structurally limiting their total addressable market within government budgets. Furthermore, the strategic shift toward localization and component diversification (required by the 50% cap) imposes localization costs and risk of supply chain inflation. If these increased costs are passed onto consumers or European healthcare systems, they will directly affect IVD budgets.</t>
  </si>
  <si>
    <t xml:space="preserve">• "The EU's International Procurement Instrument (IPI), effective June 2025, bars Chinese medical device manufacturers from public contracts exceeding €5 million and limits their component share to 50%."
</t>
  </si>
  <si>
    <t>The IPI functions as a powerful trade policy tool and regulatory hurdle, imposing a significant component sourcing constraint (limiting Chinese component share to 50%) on products sold in European public tenders. This new regulatory environment is crucial because it prioritizes supply chain control over traditional market factors. However, the policy itself creates uncertainty, as it "may face legal challenges," possibly from the WTO.</t>
  </si>
  <si>
    <t xml:space="preserve">• "The escalating trade war between China and the EU over medical device procurement has created a seismic shift in global supply chains..."
• "Supply chains are fracturing—and restructuring."
• "Companies must now choose between localization or risk exclusion."
• "Mindray Medical (2252.HK) and Shanghai Medical (603856.SH), for instance, could see margins pressured unless they adapt."
• "Short the laggards: Chinese medtech stocks without EU-localized production (e.g., smaller firms) face prolonged margin pressure."
</t>
  </si>
  <si>
    <t xml:space="preserve">The fundamental theme is that geopolitical strategy has replaced pure economic competition in the medtech/IVD market. Chinese IVD firms, including publicly named entities like Mindray, are facing immense margin pressure unless they execute a successful localization strategy, which involves establishing EU-based manufacturing or joint ventures. This necessity creates competitive opportunities for existing European firms like Fresenius and global competitors like Stryker, who have existing multi-regional footprints. There is also an opportunity for emerging competitors from regions like India (Wockhardt) and Singapore (IHH Healthcare) to fill the gaps created by the fractured supply chains.
</t>
  </si>
  <si>
    <t>The expansion potential for Chinese IVD suppliers in Europe is severely constrained by escalating geopolitical trade tensions, primarily enforced through the EU's International Procurement Instrument (IPI). This regulation, effective June 2025, bars non-localized firms from high-value public tenders (over €5 million) and mandates strict component origin limits (50% maximum Chinese content), creating massive access and regulatory hurdles. Major Chinese companies, exemplified by Mindray Medical, must adapt through localization or joint ventures to avoid critical margin pressure and exclusion from public contracts across key geographies like Germany, the UK, France, and Italy. The required diversification and localization efforts introduce significant risks, including supply chain inflation, which could impact overall healthcare budgets. Conversely, established European players like Fresenius and multi-regional manufacturers are well-positioned to dominate the restructured tender landscape. A key strategic gap remains in understanding European customer receptivity and the specific dynamics of the non-IPI-regulated private IVD market. This shift signals that mastering geopolitical de-risking and localization has become the essential blueprint for survival and dominance in the future European IVD market.</t>
  </si>
  <si>
    <r>
      <rPr>
        <rFont val="Roche Sans"/>
        <color rgb="FF1155CC"/>
        <u/>
      </rPr>
      <t>https://docs.google.com/document/d/1KWqiQRt4NvZuv2_3GC2UQWi7agGABNUshk7Pk_lRDTM/edit?tab=t.mekyzrc0fltx</t>
    </r>
    <r>
      <rPr>
        <rFont val="Roche Sans"/>
        <color rgb="FF000000"/>
      </rPr>
      <t xml:space="preserve"> </t>
    </r>
  </si>
  <si>
    <t>Medical laboratory diagnostics in Germany – a status report 2024 / Medizinische Labordiagnostik in Deutschland – ein Statusbericht 2024</t>
  </si>
  <si>
    <t>GMS German Medical Science (via Publisso)</t>
  </si>
  <si>
    <t>upto 2022</t>
  </si>
  <si>
    <t>This article provides a comprehensive overview of the state of medical laboratory diagnostics (IVD – in‑vitro diagnostics) in Germany. It describes the structure of laboratory medicine in Germany (number of specialists, sectors of service provision — clinics, ambulatory labs, MVZs/practice‑labs), workforce statistics (specialist physicians, technical staff), the distribution of laboratory infrastructures in hospitals vs external labs, volume of lab‑diagnostic services (per capita expenditure, total national expenditure), typical workflows, quality assurance, the role of IVD‑industry, and challenges / outlook for the lab diagnostics sector.</t>
  </si>
  <si>
    <r>
      <rPr>
        <rFont val="Roche Sans"/>
        <color rgb="FF0000FF"/>
        <sz val="10.0"/>
      </rPr>
      <t>https://journals.publisso.de/en/journals/gms/volume23/000337</t>
    </r>
    <r>
      <rPr>
        <rFont val="Roche Sans"/>
        <color rgb="FF0000FF"/>
        <sz val="10.0"/>
      </rPr>
      <t xml:space="preserve"> 
https://journals.publisso.de/de/journals/gms/volume23/000337#:~:text=Kliniken%20%E2%80%93%20In%20Kliniken%20erfolgt,Labors%20%E2%80%93%20zu%20betreiben%20sind </t>
    </r>
  </si>
  <si>
    <t>Roche, Siemens, Abbott, Beckman, Ortho Clinical Diagnostics, Diasorin, IDS, Werfen, Sysmex, Sebia, Tosoh, Chromsystems, Recipe, Roche Diagnostics, Siemens, Abbott, Beckman Coulter, Sonic Healthcare/Bioscientia, Synlab, Limbach-Gruppe, amedes, Quest Diagnostics (mentioned as not active in Germany), Laboratory Corporation of America (Labcorp) (mentioned as not active in Germany).</t>
  </si>
  <si>
    <t xml:space="preserve">• "Laboratory services are taken into account as part of the total costs for treatment, but are not broken down as a separate share. "
• "The distribution of revenues generated by DRG per-case flat rates takes place internally in the hospital and depends on the respective negotiations, budgets and structures of the hospital."
• "Laboratory physicians in private outpatient laboratories (who may be employed) bill their services to the statutory health insurance funds in accordance with the EBM (uniform scale of assessment); privately insured patients are billed on the basis of the GOÄ. In both fee scales, the individual services are assigned dedicated billing amounts [19], [20]; in the case of the GOÄ, not all services are currently listed, which is why so-called analog numbers must be used in some cases. The EBM is drawn up within the framework of medical self-administration, while the GOÄ is a state fee schedule."
• "The efficiency bonus (see below) and the laboratory services ordered are reimbursed from the basic laboratory fee. These are the services referred to the specialist laboratory on the sample 10 form."
• "Fixed prices were determined for the remuneration of technical services, which are not subject to regular inflation adjustment."
• "As of the end of 2024, German laboratory physicians view changes and redistributions in the EBM (German Uniform Assessment Standard) from 2025 onwards as highly critical, and in some cases, as threatening their very existence, due to an expected significant deterioration in the fee situation."
</t>
  </si>
  <si>
    <t>The reimbursement structure in Germany is complex and budget-constrained, especially in the statutory health insurance sector (EBM/GOÄ). For IVD manufacturers, hospital sales are complicated by the DRG system, where laboratory services are bundled into overall flat rates rather than itemized, meaning negotiation happens internally within hospital budgets. Critically, fixed prices for technical services are not subject to regular inflation adjustment. Furthermore, planned EBM changes starting in 2025 are viewed by laboratory physicians as "threatening their very existence" due to expected financial disadvantages. This suggests a highly cost-sensitive and dynamic reimbursement environment, increasing the pressure on suppliers to offer highly competitive pricing, which could favor new, lower-cost entrants.</t>
  </si>
  <si>
    <t>• "The annual cost of laboratory diagnostics is around 150 euros per capita, totaling around 12.9 billion euros per year, which corresponds to around 2.6% of the total costs of the German healthcare system."
• " Expenditure on laboratory services is seen to increase by € 4.5 billion between 2012 and 2022."
• "This corresponds to an increase of 55%, compared to an increase of 63% of all healthcare expenditure in this 10-year period."
• "The overall inflation-related price increase in Germany for this period was around 15%."
• " Typically, the proportion of a clinic’s expenditure for laboratory tests is around 2%."
• "The annual volume of the efficiency bonus – which is not spent on the provision of laboratory services but as a control element – is around 450 million euros."</t>
  </si>
  <si>
    <t>While laboratory spending has grown (55% between 2012 and 2022), this growth rate is slower than the overall increase in total health expenditure (63%). Laboratory diagnostics remain a relatively small portion of total healthcare costs (2.6%), yet cost containment efforts are significant, evidenced by the existence of the "efficiency bonus" (€450 million annually) which acts as a steering element to control utilization in the outpatient sector. The high inflation (15% over the 10-year period) combined with fixed, non-inflation-adjusted prices for technical services implies that existing German IVD customers are under immense financial pressure to optimize their budgets, making them receptive to suppliers who can offer equivalent quality at a lower cost base.</t>
  </si>
  <si>
    <t>• "Overall, laboratory diagnostics in Germany is increasingly dominated by large, supra-regional or international laboratory networks, ultimately of a commercial nature – both in the outpatient and inpatient sectors."
• "Overall, only well under 20% of clinics now have their own laboratory infrastructure."
• " As the availability of MTL in clinics presumably continues to decrease and technical equipment solutions continue to improve, the importance of POCT – over and above classic blood gas and glucose analysis – will presumably increase."
• "Therapeutic Drug Monitoring (TDM) can be assumed to be a growth area – the concept of individually adjusting the dosage of (low- and high-molecular) pharmaceuticals based on drug level measurements."</t>
  </si>
  <si>
    <t>The German IVD market is heavily consolidated and dominated by existing global players (Roche, Siemens, Abbott, etc.). Chinese suppliers, such as Mindray, are noted as "increasingly appearing internationally," suggesting an existing path for entry. Customers are largely large, commercially oriented lab networks. A key trend is the increasing adoption of Point-of-Care Testing (POCT), driven by the decline in in-house hospital lab infrastructure and technical personnel shortages. This growth in POCT creates an opportunity for Chinese manufacturers offering reliable, cost-effective decentralized solutions, particularly for common tests.</t>
  </si>
  <si>
    <t>• "The largest global laboratory diagnostics groups are not yet active in Germany (in particular Quest Diagnostics and Laboratory Corporation of America (Labcorp))."
• "According to a 2020 publication by the consulting firm Aktiva [8], the share of commercial laboratory supplier chains was 55% of total sales, which is reported at € 10.7 billion."
• "As a fundamental problem of laboratory diagnostic care in Germany, the increasingly relevant shortage of skilled workers must be considered."
• "The role of international financial investors in German medicine in general is being perceived increasingly critically – at least by the medical public. "
• "The protection of the independence of medical decision-making in the laboratory (especially with regard to indications) and the prevention of anti-competitive provider dominance are important objectives of legislative projects announced in 2024."</t>
  </si>
  <si>
    <t>The market is already highly concentrated, with commercial laboratory supplier chains accounting for 55% of total sales, and further consolidation is expected, potentially driven by the increasing shortage of skilled workers (MTL). The absence of the world's largest diagnostic companies (Quest and Labcorp) suggests potential room for new large entrants. However, the rising criticism regarding the influence of international financial investors in German medicine indicates that future legislative projects may seek to protect the independence of medical decision-making and prevent anti-competitive dominance. This governmental scrutiny represents a major strategic risk for any aggressively expanding foreign commercial entity.</t>
  </si>
  <si>
    <t>The expansion potential for Chinese IVD suppliers, such as Mindray, rests on exploiting significant market pressures within the highly consolidated German laboratory diagnostics sector. Germany's IVD expenditure totals approximately €12.9 billion annually, representing a highly cost-sensitive market where expenditure growth lags behind overall health inflation. Access and reimbursement are governed by the EBM and DRG systems, with key mechanisms like fixed prices for technical services lacking inflation adjustments, creating intense pressure on margins and a demand for cheaper technical solutions. Regulatory entry requires mandatory EU-level IVDR compliance for devices and reagents, while adoption is facilitated by local quality standards such as ISO 15189 accreditation. The market structure is increasingly dominated by large commercial lab networks, and further consolidation is expected, partially driven by a severe, looming shortage of skilled laboratory personnel (MTL). A key opportunity is the growth of Point-of-Care Testing (POCT), a trend driven by the structural decline of in-house hospital labs and which is generally considered to be growing, though supporting objective data is currently unavailable. Strategic risks include high governmental and public scrutiny of "international financial investors" and anticipated legislative efforts announced for 2024 aimed at preserving medical decision-making independence and preventing anti-competitive dominance. The major strategic gap remains the lack of information in these sources regarding IVD access and reimbursement realities across the broader European geography.</t>
  </si>
  <si>
    <t>https://docs.google.com/document/d/1KWqiQRt4NvZuv2_3GC2UQWi7agGABNUshk7Pk_lRDTM/edit?tab=t.fxko5jhzd3mf</t>
  </si>
  <si>
    <t>General market access landscape – in‑vitro diagnostic tests in Europe</t>
  </si>
  <si>
    <t>Med Tech Reimbursement Consulting (MTRC) — via their website mtrconsult.com</t>
  </si>
  <si>
    <t xml:space="preserve">The article/report outlines how in‑vitro diagnostic (IVD) tests are reimbursed and accessed across Europe. It explains: how IVD tests done during inpatient hospital stays are usually covered by hospital admission payments (global budgets or DRG‑based payment), and labs are funded broadly, not per test.  For outpatient specialist care, many countries have fee‑for‑service reimbursement for IVD, via national lists or catalogs (e.g. Germany’s EBM catalog, Italy’s LEA, France’s NABM system).  It also outlines the role of Health Technology Assessment (HTA) and reimbursement decision‑making for novel or expensive IVD tests — some countries require payer approval or national decisions before reimbursement. The report further notes that some European countries use innovative payment schemes or special funding mechanisms to support new diagnostic tests. Finally, it highlights that there are substantial challenges ahead: adapting existing payment models, introducing reimbursement frameworks for novel/point‑of‑care tests, and aligning regulatory/HTA requirements across diverse systems. 
</t>
  </si>
  <si>
    <t>https://mtrconsult.com/general-market-access-landscape-vitro-diagnostic-tests-europe#:~:text=In%20most%20European%20countries%2C%20IVD,profit%20hospitals%20in%20France</t>
  </si>
  <si>
    <t>France, Italy, Germany, Spain, the UK (England), Belgium, Norway, and The Netherlands.</t>
  </si>
  <si>
    <t>• "Many countries have specific reimbursement frameworks for IVD tests provided as a part of outpatient specialist care, most commonly using a fee-for-service payment model."
• "In most countries, IVD tests are a part of the national list for reimbursable outpatient specialist services (e.g., EBM catalog in Germany, LEA catalog in Italy)."
• "The national nomenclatures typically define the tariffs (LEA catalog in Italy) or point values (NABM in France or EBM catalog in Germany) and conditions for reimbursement for individual tests."
• "The framework (evidence requirements, timelines) for the creation of novel IVD reimbursement codes in the national lists varies between countries; however, in most countries, it can be triggered by manufacturers."
• "Approval by payers or national decision-makers is required for the inclusion of a novel expensive test in the national lists of reimbursable services in many countries."
• "Innovative payment schemes play an important role in market access for IVD tests in Europe: around 52% of the innovative payment schemes can cover in-vitro diagnostics (Medtech Funding Mandate in England; Government-co-sponsored studies according to the §137e of the German Social Code Book V in Germany; small-scale experiments for introduction of innovations in the Netherlands)."
• "France offers a unique and unparalleled opportunity to gain early access to the market through the development of clinical and economic evidence using seven Innovative Payment Schemes, including the List of innovative medical biology procedures outside the Nomenclature (LAHN) – the key innovative scheme for IVD tests in France."
• "In some countries, there is no reimbursement system for in-vitro diagnostic tests; their cost is included in the basic payment mechanism for medical care (e.g., the NHS Payment Scheme in England or the global hospital budget in Spain)."</t>
  </si>
  <si>
    <t>The European IVD market is fragmented, requiring Chinese suppliers to navigate varied, country-specific frameworks, such as the EBM in Germany or LEA in Italy. While fee-for-service models exist primarily for outpatient care, market entry is reliant on securing inclusion in these national lists, a process that requires approval by payers and is typically manufacturer-triggered. The presence of innovative payment schemes (e.g., in England, Germany, and France) offers a strategic pathway for novel technologies, allowing new entrants to potentially gain early access and funding if they can demonstrate high-value innovation.</t>
  </si>
  <si>
    <t>• "In most European countries, IVD tests performed during inpatient stays are included in the payment for hospital admission (DRG-based payment or global budget)."
• "Laboratories are funded using a global budget principle without a specific reimbursement framework."
• "In some countries, there is no reimbursement system for in-vitro diagnostic tests; their cost is included in the basic payment mechanism for medical care (e.g., the NHS Payment Scheme in England or the global hospital budget in Spain).</t>
  </si>
  <si>
    <t>The widespread use of global budgets or DRG-based systems for inpatient IVD tests, and for entire laboratory funding, means that many costs are bundled into basic payments (e.g., in Spain or England’s NHS). This structure exerts significant cost pressure on laboratories, forcing new suppliers to emphasize competitive pricing and cost-efficiency, as labs must absorb the cost of necessary tests within a fixed budget. The limited application of fee-for-service to hospital admissions (only in Belgium and private hospitals in France) further emphasizes cost competitiveness as a barrier to entry.</t>
  </si>
  <si>
    <t xml:space="preserve">• "Health Technology Assessment is an important factor influencing the adoption of IVD tests, apart from reimbursement and acceptance by payers / national decision-makers."
• "In most countries, HTA is incorporated into reimbursement decision-making (INAMI/RIZIV in Belgium, HAS in France, New Methods” framework in Norway)."
• "However, in some countries, there are stand-alone HTA organizations whose recommendations can support the adoption of the new IVD tests by healthcare providers (NICE in England or AGENAS in Italy)"
</t>
  </si>
  <si>
    <t xml:space="preserve"> Health Technology Assessment (HTA) is a non-negotiable external force shaping the IVD market. Successful expansion requires satisfying HTA requirements, as these assessments are frequently incorporated into national reimbursement decision-making processes (e.g., by HAS in France). Even where stand-alone HTA organizations exist (like NICE in England), their recommendations heavily influence adoption by healthcare providers, meaning Chinese suppliers must develop robust clinical and economic evidence dossiers to clear this hurdle.
</t>
  </si>
  <si>
    <t>• "Laboratories are funded using a global budget principle without a specific reimbursement framework."
• "In general, laboratories introduce tests that are necessary from the clinical perspective."
• "Health Technology Assessment is an important factor influencing the adoption of IVD tests, apart from reimbursement and acceptance by payers / national decision-makers."</t>
  </si>
  <si>
    <t>Customer (laboratory) adoption is driven primarily by clinical necessity. However, since most funding is constrained by global budgets, clinical necessity must be proven in a cost-effective manner. Furthermore, adoption is strongly mediated by acceptance from payers and national decision-makers, often following positive HTA recommendations. Therefore, adoption potential for new entrants is less about traditional marketing and more about fulfilling clinical need while proving sufficient cost-benefit and HTA success.</t>
  </si>
  <si>
    <t xml:space="preserve">• "The name of codes in the national lists used for reimbursement of IVD tests can include a detailed description of an analyte and/or the test method... or provide a generic high-level description of a test method making the code applicable for multiple tests..."
• "Additional regulation can determine the monetary caps for the use of certain tests (Germany)."
• "Funding via the LAHN means an additional budget for laboratories that comes from the research and innovation (MERRI) budget distributed by the Ministry of Health and Access to Care."
• "Future challenges in the market access landscape for IVD tests include adjusting existing payment models to accommodate novel tests, creating new reimbursement or funding frameworks for expensive tests, and developing a reimbursement framework for point-of-care tests."
</t>
  </si>
  <si>
    <t>The complexity of reimbursement codes—some highly descriptive, others generic—requires suppliers to precisely tailor their market entry strategy depending on whether they can fit under an existing generic code or must seek an expensive, manufacturer-triggered novel code. The existence of volume limitations, such as monetary caps in Germany, presents a risk that can limit sales potential even post-reimbursement. Conversely, dedicated innovation funds, like the MERRI budget supporting the LAHN scheme in France, offer a specific financial incentive for labs to adopt new technologies, representing a strategic opportunity. Furthermore, the market is currently grappling with challenges related to accommodating novel or expensive tests and defining reimbursement for point-of-care diagnostics.</t>
  </si>
  <si>
    <t xml:space="preserve">The evaluation of Chinese IVD expansion potential in Europe reveals a heterogeneous landscape heavily defined by country-specific access and reimbursement mechanisms across numerous geographies, including France, Germany, Italy, Spain, and the UK. A primary challenge is the pervasive reliance on global budget funding for inpatient IVD tests and laboratories, which limits the immediate revenue upside and puts extreme pressure on new suppliers to offer competitive pricing. To overcome this, market entry requires successful navigation of diverse national lists (e.g., EBM, LEA) and strict Health Technology Assessment (HTA) requirements, which act as a regulatory gatekeeper influencing adoption across countries like Belgium, France, and Norway. Strategic opportunities lie in leveraging innovative payment schemes in countries like France and England, which offer dedicated funding to accelerate the adoption of novel technologies. However, this assessment is fundamentally constrained by key information gaps, including the absence of any data on the competitive landscape, pre-market regulatory compliance (IVDR), and, most importantly, actual customer receptivity or bias towards Chinese-origin suppliers [Gaps]. Successful expansion hinges on overcoming national financial restrictions and evidence requirements, rather than competitive dynamics or specific company performance, which are not detailed in the provided sources.
</t>
  </si>
  <si>
    <t>https://docs.google.com/document/d/1KWqiQRt4NvZuv2_3GC2UQWi7agGABNUshk7Pk_lRDTM/edit?tab=t.e295cqcovcua</t>
  </si>
  <si>
    <t>Market access for medical technologies in Spain</t>
  </si>
  <si>
    <t>The report outlines how medical technologies (including in‑vitro diagnostics — IVD) access the Spanish market. Key points:
• Spain does not have a dedicated reimbursement system for most medical technologies. Instead, public hospitals get funding via a global budget (at the regional level) and inclusion of services/devices into the national “package of benefits.” 
• Decisions on including a new technology/service are made by the country‑wide benefit package authority (CISNS) — based on proposals from the Benefits Commission and advice from the regional HTA network (RedETS). 
• For IVD tests specifically: there is no dedicated reimbursement; laboratory services (including IVD) are covered under the hospital/lab’s budget. 
• For genetic/genomic tests: these may be covered if they are included in the national Common Catalog of Genetic &amp; Genomic Tests under the NHS. 
• Health‑Technology‑Assessment (HTA) is done both at national and regional levels, via multiple HTA bodies depending on region</t>
  </si>
  <si>
    <t>https://mtrconsult.com/news/preliminary-bill-law-digital-health-open-consultation-spain</t>
  </si>
  <si>
    <t>Spain</t>
  </si>
  <si>
    <t>“There is no reimbursement, but only funding framework in Spain. Hospitals receive funding through a global budget, although the responsibility for the allocation of hospital budgets is assigned to the health authority of the Autonomous Communities.”
“One of the key aspects of market access in Spain is the explicit inclusion of service or implant into the package of benefits provided within the NHS.” 
“The decision to include new technologies in the package of benefits is made by the Interterritorial Council of the NHS upon the proposals submitted by the Commission of Benefits, Insurance and Financing and the (mandatory) technical advice of the Spanish Network of HTA Agencies (RedETS).”</t>
  </si>
  <si>
    <t>These quotes show Spain uses a funding/global-budget model (not per-test reimbursement), which affects pricing strategies for IVD suppliers — selling into hospital budgets and demonstrating system-level value is critical.
Inclusion into the national package of benefits is a centralized gate that relies on HTA advice, so national/regional evidence and HTA dossiers will determine formal funding/access.
Decision authority (Interterritorial Council, RedETS) indicates that broad stakeholder/HTA engagement is required for nationwide inclusion.</t>
  </si>
  <si>
    <t>“Hospitals receive funding through a global budget, although the responsibility for the allocation of hospital budgets is assigned to the health authority of the Autonomous Communities.”</t>
  </si>
  <si>
    <t>Global hospital budgets mean IVD purchases compete with other hospital priorities; procurement often happens at regional/autonomous community level — Chinese suppliers must align pricing/value proposals to convince hospital/region purchasers rather than expecting line-item reimbursement.</t>
  </si>
  <si>
    <t>“HTAs are performed at the regional level by seven HTA bodies (in Andalusia, Aragon, Basque Country, Canary Islands, Catalonia, Galicia, and Madrid) and at the national level by the Health Institute Carlos III (ISCIII).” 
“The Common Package of Benefits of the National Health System is the set of techniques, technologies or procedures ... through which health benefits are made effective («BOE» num. 222, 16/09/2006).”</t>
  </si>
  <si>
    <t>Multiple regional HTA bodies plus a national institute mean heterogeneous HTA requirements and possible fragmentation — suppliers may face multiple, region-specific evidence pathways.The Common Package is the formal cataloguing mechanism; inclusion here is a regulatory/policy step directly tied to funding and access.</t>
  </si>
  <si>
    <t>“Genomic and genetic tests that are guaranteed nationwide are included in the Common Catalog of Genetic and Genomic Tests of the NHS.”</t>
  </si>
  <si>
    <t>Confirms again the global budget funding route for most IVDs; genomic tests are treated separately (a national catalog), which may be an opportunity for suppliers of specialized molecular/genomic assays.</t>
  </si>
  <si>
    <t xml:space="preserve">The MTRC Spain page makes clear Spain’s IVD market operates primarily under a funding/global-budget model rather than fee-for-service reimbursement; hospitals and labs are funded from regional/global budgets and the Interterritorial Council (with RedETS technical advice) governs inclusion into the national Common Package of Benefits.  Regional fragmentation is important: HTA work is performed by seven regional HTA bodies as well as national bodies (ISCIII/RedETS), implying suppliers face multiple evidence pathways.  There is no listing of commercial IVD companies on the page (Mindray and Snibe are not mentioned), so the competitive landscape and buyer preferences toward Chinese suppliers are not described.  Genomic/genetic tests are handled through a national catalog (an explicit route to guaranteed nationwide coverage), representing a potential strategic entry point for specialized molecular suppliers. 
Med Tech Reimbursement Consulting
 Recent policy activity (drafting of a Digital Health law and updates to the Common Package and genetic test catalog in 2025) signals changing rules that could either create opportunities or raise evidence/financing requirements for new entrants.  Key gaps for evaluating Chinese supplier expansion remain: the document lacks any direct evidence on customer receptivity or procurement behaviour, and it contains no company-level procurement or tender information — these will need to be sourced elsewhere (tender databases, regional procurement news, hospital buyer surveys).  Given the funding model, a China-based IVD supplier would likely need to focus on strong health-economic value, region-level HTA/clinical evidence, and engagement with autonomous community purchasers, while monitoring national catalog opportunities (e.g., genomic tests) and the outcomes of the 2025 policy consultations. </t>
  </si>
  <si>
    <t>https://docs.google.com/document/d/1KWqiQRt4NvZuv2_3GC2UQWi7agGABNUshk7Pk_lRDTM/edit?tab=t.1lc96oiixspk</t>
  </si>
  <si>
    <t>New versions of NABM nomenclature released in France</t>
  </si>
  <si>
    <t>The article explains that NABM is the primary reimbursement catalogue for in‑vitro diagnostic (IVD) tests covered under statutory health insurance in France. In March 2025, two updated versions of NABM (versions 95 and 96) were released. While no new test codes were added, the update included removal of one code and adjustments to reimbursement tariffs (i.e. changes to coefficient B ratings) for several existing codes.</t>
  </si>
  <si>
    <t>https://mtrconsult.com/news/new-versions-nabm-nomenclature-released-france#:~:text=The%20NABM%20Nomenclature%20serves%20as,statutory%20health%20insurance%20in%20France</t>
  </si>
  <si>
    <t>France</t>
  </si>
  <si>
    <t>“The NABM Nomenclature serves as the primary and permanent reimbursement catalog for in-vitro diagnostic tests covered under statutory health insurance in France.” 
“In March 2025, two updated versions of the Nomenclature of Medical Biology Procedures (NABM 95 and 96) were released.” 
“...the updates include the removal of one code and adjustments to the reimbursement tariffs (coefficient B rating) for several existing codes.”</t>
  </si>
  <si>
    <t>The NABM is the core reimbursement catalog for IVD tests in the French statutory system — inclusion and tariff definitions here directly determine whether and how diagnostics are paid for under national insurance. 
Updates to the nomenclature, even without new codes, alter how tests are reimbursed (tariffs and coding), affecting supplier economics and product viability.</t>
  </si>
  <si>
    <t>“The NABM Nomenclature serves as the primary and permanent reimbursement catalog for in-vitro diagnostic tests covered under statutory health insurance in France.”</t>
  </si>
  <si>
    <t>The NABM system is a regulatory mechanism through which IVD tests are officially recognized and reimbursed — the structure of the nomenclature, the release of new versions, and tariff adjustments are key regulatory actions shaping market access.</t>
  </si>
  <si>
    <t>Assumptions, Contradictions, Gaps Noted
Gap — Breadth of Reimbursement Updates: The page mentions only two versions (95 and 96) and specific adjustments, but does not cover subsequent versions (e.g., NABM 97/98) in detail. This means you cannot infer the full 2025 reimbursement landscape from this single entry alone. 
Med Tech Reimbursement Consulting
Gap — Financial Impact: While tariff adjustments are noted, the magnitude and direction of those changes (how much reimbursement increases or decreases) are not described — essential for pricing strategy. 
Med Tech Reimbursement Consulting
Assumption Risk: There is an implied assumption that updates to the nomenclature matter strategically; however, the post does not include context on uptake or clinical impact of those changes. 
Med Tech Reimbursement Consulting
No Customer Receptivity Data: The absence of adoption or purchaser perception data is a gap for evaluating how French labs/clinicians respond to nomenclature changes or new codes. 
Med Tech Reimbursement Consulting
Final Summary 
The MTRC news item confirms that the Nomenclature des Actes de Biologie Médicale (NABM) is the central reimbursement catalog for IVD tests in France, determining which tests are paid for under the statutory health insurance system. 
 In March 2025, two updated nomenclature versions (95 and 96) were released, involving removal of one code and adjustments to reimbursement tariffs — changes that directly influence the economics of existing diagnostics. 
 The existence of official orders linked to these updates signals that reimbursement coding is a formal regulatory process, not an informal update. 
 While the document provides clear evidence on reimbursement mechanisms and nomenclature evolution, it does not provide insight into actual pricing impacts, lab spending behaviors, or customer adoption attitudes toward IVD products. 
 No specific IVD companies (including Mindray or Snibe) are mentioned, so competitive positioning must be inferred from other data. 
 Overall, this source underscores that for any IVD supplier (including Chinese manufacturers), getting listed in NABM with favorable codes and tariffs is essential to access France’s national reimbursement system, but more evidence and market data are needed to assess buyer receptivity and competitive dynamics.</t>
  </si>
  <si>
    <t>https://docs.google.com/document/d/1KWqiQRt4NvZuv2_3GC2UQWi7agGABNUshk7Pk_lRDTM/edit?tab=t.lu0t8ei2kdif</t>
  </si>
  <si>
    <t>NICE implemented a new HealthTech program in England</t>
  </si>
  <si>
    <t>The article describes that NICE published a new HealthTech programme manual. Under the new programme: diagnostics, medical devices, digital health and other non‑medicine technologies will be evaluated under a unified HealthTech guidance (replacing former separate programmes for Medical Technologies, Diagnostics, Interventional Procedures). 
The evaluation will follow a “lifecycle” approach — from early use (for new or less‑established technologies), through routine use, to late-stage assessments of established technologies. 
Based on assessments of clinical and cost‑effectiveness (or cost comparison), NICE can issue recommendations: e.g. “can be used routinely by NHS,” “can be used during evidence-generation period (conditional)”, “only in research settings”, or “should not be used.” 
This change is seen as a major transformation aimed at simplifying and accelerating adoption of health technologies — including diagnostics and IVD — within the NHS (England).</t>
  </si>
  <si>
    <r>
      <rPr>
        <rFont val="Roche Sans"/>
        <color rgb="FF0000FF"/>
        <sz val="10.0"/>
      </rPr>
      <t>https://mtrconsult.com/news/nice-implemented-new-healthtech-program-england#:~:text=NICE%20will%20utilize%20a%20life,recommendations%20in%20the%20HealthTech%20program
https://www.nice.org.uk/process/pmg48/resources/nice-healthtech-programme-manual-pdf-72286843070149</t>
    </r>
    <r>
      <rPr>
        <rFont val="Roche Sans"/>
        <color rgb="FF0000FF"/>
        <sz val="10.0"/>
      </rPr>
      <t xml:space="preserve"> </t>
    </r>
  </si>
  <si>
    <t>England / UK</t>
  </si>
  <si>
    <t>“A new HealthTech program will produce two types of guidance: HealthTech guidance will replace Medical Technologies guidance and Diagnostics guidance. The HealthTech (often used interchangeably with “MedTech”) guidance will cover non-medicine technologies, such as diagnostics, medical devices, and digital technologies, including AI. The program will make recommendations based on the assessment of the clinical and cost-effectiveness.”
“For early use … this approach considers HealthTech products that could address a national NHS unmet need. It rapidly assesses products early in the lifecycle (but that have appropriate regulatory approval for use in the UK) or that have limited use in the NHS and need further evidence to support wider use. Technologies considered for early use can be conditionally recommended for use while further evidence is generated during the evidence generation period. This enables early access to promising new technologies for patients. Conditional recommendations are for a fixed period of time, and the technologies will be reassessed for routine use based on the evidence generated;”</t>
  </si>
  <si>
    <t>NICE’s HealthTech guidance explicitly covers diagnostics and bases recommendations on clinical and cost-effectiveness — suppliers must prepare robust clinical and health-economic evidence to obtain favourable guidance.
The life-cycle / early use pathway and conditional recommendations create a structured route for early access with evidence generation — an opportunity for earlier entry but requiring commitments to generate NHS-relevant evidence.
The four possible recommendation outcomes clarify that insufficient evidence or poor cost-effectiveness can block routine adoption, so HTA-grade dossiers are essential.</t>
  </si>
  <si>
    <t>“For early use … rapidly assesses products early in the lifecycle (but that have appropriate regulatory approval for use in the UK) …”
“The program will make recommendations based on the assessment of the clinical and cost-effectiveness.”</t>
  </si>
  <si>
    <t>NICE requires technologies to have appropriate UK regulatory approval before consideration for early use — so regulatory clearance (e.g., UK conformity evidence) is a prerequisite for HealthTech assessment.
The focus on clinical and cost-effectiveness ties regulatory/market access work to HTA-grade evidence generation.</t>
  </si>
  <si>
    <t>“This enables early access to promising new technologies for patients.”
“For HealthTech guidance, the approach considers HealthTech products that address a national NHS need and may be suitable for routine, widespread use in the NHS. Recommendations are based on assessment of clinical and cost effectiveness, or cost comparison;”</t>
  </si>
  <si>
    <t>NICE aligns HealthTech guidance with national NHS needs, implying products that address priority gaps may be favoured — useful for targeting product value propositions.
The allowance for cost comparison (not only full cost-effectiveness modelling) suggests suppliers can sometimes use pragmatic comparative economics when full long-term models are unavailable.</t>
  </si>
  <si>
    <t>NICE’s HealthTech program consolidates Medical Technologies and Diagnostics guidance into one pathway covering diagnostics, devices, digital tech and AI, and bases recommendations on clinical and cost-effectiveness. The program creates a life-cycle approach that enables conditional, time-limited early use while evidence is generated, but requires technologies to hold appropriate UK regulatory approval before assessment. Four clear recommendation outcomes (routine use, conditional use during evidence generation, research-only, or not recommended) make evidence strength a decisive commercial gate. For Chinese IVD suppliers, this presents an opportunity to gain early conditional access for technologies that meet NHS unmet needs—provided they secure UK regulatory clearance and can support local evidence generation. However, the article does not address how NICE guidance translates into procurement and funding at the NHS or local level, nor does it specify timelines or evidence thresholds for progression to routine use. The lack of customer adoption data and company case studies is a notable gap for forecasting uptake. A prudent UK entry strategy should therefore sequence regulatory approval, HTA-grade evidence preparation mapped to NHS priorities, plans for evidence generation under conditional use, and parallel work to clarify procurement and contracting mechanisms to convert NICE guidance into real uptake.
Assumptions, Contradictions, and Gaps Observed
Gap — Funding mechanics: The page does not explain downstream procurement or payment mechanisms that translate NICE guidance into purchased volumes (e.g., national procurement frameworks, local contracting). This is essential to convert guidance into sales.
Gap — Timelines and evidence requirements: While conditional recommendations and evidence generation are described, typical timeframes and the specific evidence thresholds required to move from conditional to routine use are not provided. Suppliers need those details to plan budgets and studies.
Assumption risk — ‘Early access = quick commercialisation’: Early/conditional access allows clinical use but is time-limited and evidence-dependent; assuming it leads to immediate large volumes is risky without additional commissioning steps.
No company examples: The article gives no examples of diagnostics that have used this pathway; lack of precedents constrains inference about adoption speed and commercial impact.</t>
  </si>
  <si>
    <t>https://docs.google.com/document/d/1KWqiQRt4NvZuv2_3GC2UQWi7agGABNUshk7Pk_lRDTM/edit?tab=t.oujb1xnwvhd3</t>
  </si>
  <si>
    <t>NICE HealthTech
programme manual</t>
  </si>
  <si>
    <t>National Institute for Health and Care Excellence (NICE)</t>
  </si>
  <si>
    <t>Policy/Guidance Manual</t>
  </si>
  <si>
    <t>Provides methods and process standards that NICE follows when developing HealthTech and interventional procedures guidance. It integrates previous programmes (Diagnostics Assessment, Interventional Procedures, Medical Technologies) into a unified HealthTech framework.</t>
  </si>
  <si>
    <t>https://www.nice.org.uk/process/pmg48/resources/nice-healthtech-programme-manual-pdf-72286843070149</t>
  </si>
  <si>
    <t>• "Recommendations are made based on assessment of clinical and cost effectiveness of HealthTech products"
.
• Technologies considered for routine widespread use in the NHS base recommendations on "assessment of clinical and cost effectiveness, or cost comparison"
.
• "Guidance can include recommendations on a technology for which no price has been provided. But if the price is needed for an economic evaluation and cannot otherwise be determined, it will impact on recommendations made about the technology. This is because it leads to uncertainty about the cost effectiveness and budget impact"
.
• "The methods NICE considers to be most appropriate for estimating value for money are cost–utility analysis and cost-comparison analysis"
.
• "Interventions with an incremental cost-effectiveness ratio (ICER) below £20,000 per QALY gained are generally considered cost effective"
.
• "If there is plausible potential that the technology will address the unmet need and offer value for money, and that any economic, system or clinical risks posed by uncertainty in evidence can be managed, then the technology can be used in the NHS while further evidence is generated (during the evidence generation period) and be paid for using core NHS funding"
.</t>
  </si>
  <si>
    <t>Explanation for IVD Market Impact: For Chinese suppliers, accessing the UK market means successfully navigating the stringent NICE evaluation process, which is fundamentally driven by demonstrating clinical and cost effectiveness. This requires developing complex economic models, such as cost–utility analysis generating ICERs using Quality-Adjusted Life Years (QALYs). Suppliers who cannot provide the necessary data, especially accurate pricing and effectiveness linked to QALYs, risk having their technology’s recommendation negatively impacted or stopped, even if the technology is technically sound. Achieving recommendation allows for payment using core NHS funding
.
Flagged Gaps/Assumptions/Contradictions:
• Gap: The source focuses exclusively on the mechanics of A&amp;R decision-making (ICER, QALY) but does not detail the total volume or specific allocation mechanisms for IVD budgets within the NHS
.</t>
  </si>
  <si>
    <t>• "The price of a technology is important for economic evaluations"
.
• "Companies can provide costs relevant to using their technology in their response to a request for information (see section 1.3.4) and updated costs at consultation on draft guidance"
.
• "The scope will also specify what guidance will be developed in terms of the lifecycle approach to be used (for early, routine or existing-use guidance)"
.
• Existing-use assessments are designed to support "procurement and commissioning decisions"
.
• "There is likely to be variation in price between alternative technologies in the assessed group of technologies"
.
• The aim of existing-use assessments is to determine "whether price variation between similar technologies is justified"
.
• "Reference-case analyses should be based on prices that reflect as closely as possible the prices that are paid in the NHS"
.
• Resource impact assessment helps "assess the expected changes in expenditure and capacity requirements as a result of implementing the guidance"
.</t>
  </si>
  <si>
    <t>Explanation for IVD Market Impact: Chinese suppliers, often competing on price, must be prepared for extreme scrutiny regarding cost and budget impact. The NICE process explicitly addresses price variation, particularly in "existing-use" scenarios common for IVD platforms and tests, aiming to ensure that differences in price are justified by verifiable differences in patient or system outcomes. Transparency in pricing is essential, as reference-case analyses rely on prices paid by the NHS, potentially reducing the ability to use confidential, deep discounts unless nationally and publicly available
.
Flagged Gaps/Assumptions/Contradictions:
• Assumption: The process assumes companies are willing to provide "further price that can be publicly disclosed" even if they believe there are extenuating circumstances for why the primary cost "cannot be disclosed in public documents"
. This creates a high hurdle for proprietary pricing models common among new market entrants.</t>
  </si>
  <si>
    <t>• HealthTech products are assessed early in the lifecycle (but that have "appropriate regulatory approval for use in the UK")"
.
• "Guidance production can be stopped for several reasons. This includes if it is no longer possible to produce recommendations, for example, if there have been changes to the regulatory status of technology"
.
• NICE will not develop HealthTech guidance on a technology outside of its indication or intended purpose for use, "as defined by any regulatory approval for use in the UK"
.
• "The appropriate regulatory approval is usually a UK Conformity Assessed (UKCA) or CE mark (as a medical device)"
.
• Technologies assessed as a group or class require that "at least 1 available technology must have appropriate regulatory approval"
.</t>
  </si>
  <si>
    <t>Explanation for IVD Market Impact: Regulatory approval (UKCA or CE mark) is a strict prerequisite for formal assessment by NICE. Chinese suppliers expanding into the UK must prioritize acquiring and maintaining the correct regulatory status, or the guidance development process may be halted
. The complexity of post-Brexit UK regulation (UKCA alongside CE mark recognition) necessitates strategic resource allocation to compliance before market access can even begin.
Flagged Gaps/Assumptions/Contradictions:
• Gap: The source primarily addresses regulatory status (approved/not approved) but does not address the regulatory process complexity (e.g., specific requirements for transitioning from CE to UKCA, which is currently a key challenge for global suppliers in the UK market).</t>
  </si>
  <si>
    <t>• Stakeholders can provide "qualitative, real-world and experiential evidence from voluntary and community sector organisations. This is to reflect the experience of patients, healthcare professionals and commissioners of current care in the NHS"
• Experts include "people with a condition and their carers, who can provide information about the impact of both the condition and the technology being assessed"
.
• "Outcomes related to the needs and preferences of patients and healthcare professionals for different technologies... may be useful for decision making"
.
• Existing-use assessments utilize "User preference assessment"
.
• User preference assessment identifies the "key criteria that are important to users of the technology when deciding which technology to choose" and helps "understand how users apply these criteria when choosing a technology"
.
• Recommendations may consider "factors related to technologies that are important for patients or healthcare professionals"
.</t>
  </si>
  <si>
    <t>Explanation for IVD Market Impact: Customer receptivity and adoption in the NHS are deeply embedded in the evaluation process, going far beyond raw technical performance. Chinese suppliers need to prove their technology aligns with the needs and preferences of the end-users—both healthcare professionals (usability, training, workflow) and patients (experience, anxiety, planning). Neglecting this qualitative and experiential evidence risks negative guidance, even if cost-effectiveness is adequate, as the committee considers factors "important for patients or healthcare professionals"
.
Flagged Gaps/Assumptions/Contradictions:
• Contradiction/Tension: There is an inherent tension between the quantitative rigor required for cost-effectiveness (ICER/QALY)
 and the reliance on qualitative or experiential evidence gathered through user preference assessments. Suppliers must satisfy both highly distinct evidence requirements.</t>
  </si>
  <si>
    <t>• HealthTech includes "diagnostics, medical devices and digital technologies including artificial intelligence"
• "When multiple technologies that can be used for the use case, or use cases, being assessed in a guidance topic are available to the NHS, they will be assessed in 1 piece of guidance"
• Interventions may be defined as a "group or class of technologies that have shared features or functions"
• "Information on implementation issues, such as staffing and training needs, could also be provided"
• The scope should describe any "changes to infrastructure, care pathways or care delivery that are expected to be needed for the technology to be used in practice"
• Guidance may indicate ranges or values for "performance of technologies" or impact on outcomes that need to be maintained for it to remain cost effective</t>
  </si>
  <si>
    <t>Explanation for IVD Market Impact: The UK IVD market is highly competitive, evidenced by NICE’s strategy of assessing "multiple technologies" or defining interventions as a "group or class" within a single guidance document. Chinese suppliers must compete against established players directly within these class evaluations. Furthermore, success requires detailing and mitigating any infrastructure or workflow changes required for implementation, including staffing and training needs. The ability of a supplier to maintain high performance metrics is key, as future guidance may set specific "performance... that need to be maintained for it to remain cost effective"
.
Flagged Gaps/Assumptions/Contradictions:
• Gap: While the source defines diagnostics as HealthTech
 and discusses care pathways, it does not provide explicit detail on the organizational structure of NHS pathology labs or the centralization models that influence IVD procurement.</t>
  </si>
  <si>
    <t>For Chinese IVD suppliers, expansion into the UK market requires navigating the stringent NICE HealthTech programme, which acts as a sophisticated, evidence-based gateway. Regulatory approval (UKCA or CE mark) is a non-negotiable prerequisite for initiating evaluation. The primary external force shaping access and reimbursement is the demand for robust evidence of clinical and cost effectiveness, often quantified using QALYs and ICERs below the £20,000 threshold. This quantitative burden is complicated by the need for complete price transparency and disclosure of costs, which directly impacts budget uncertainty and subsequent recommendations. A significant opportunity arises from the framework's focus on unmet need and its willingness to evaluate promising technologies through an early-use pathway while generating further evidence, providing quicker, conditional access to core NHS funding. Conversely, a major strategic risk lies in failing to satisfy qualitative demands, as customer receptivity is assessed through user preference exercises capturing the needs of patients and healthcare professionals, which often dictates successful adoption. Finally, Chinese suppliers must be prepared for head-to-head competition within multi-technology evaluations, often assessed as a "group or class" based on shared function, necessitating strong performance benchmarks that are maintained over time. The key gap remains the absence of specific budgetary or lab structure details within the sources, requiring external verification of market spending dynamics.</t>
  </si>
  <si>
    <t>Navigating Dual Regulations: Strategies for IVD Market Approval in China and the EU</t>
  </si>
  <si>
    <t>NAMSA White Paper</t>
  </si>
  <si>
    <t>Industry / Regulatory Guidance Report (White Paper)</t>
  </si>
  <si>
    <t>The white paper compares the regulatory frameworks governing in‑vitro diagnostics (IVD) in China (under National Medical Products Administration — NMPA) and in the European Union (under EU In Vitro Diagnostic Regulation — IVDR). It outlines key differences and similarities across both jurisdictions in: language/documentation requirements, in‑country representative/authorized representative requirements, manufacturer obligations, required clinical evidence, submission procedures, conformity assessment timelines, and post‑market obligations. The paper is positioned as a practical guide for manufacturers (including Chinese IVD companies aiming to enter Europe, or EU-based companies seeking China entry) to plan simultaneous or dual‑market regulatory strategies effectively.</t>
  </si>
  <si>
    <t>https://namsa.com/resources/whitepapers/navigating-dual-regulations-strategies-for-ivd-market-approval-in-china-and-the-eu/</t>
  </si>
  <si>
    <t xml:space="preserve">• "In vitro diagnostic (IVD) manufacturers planning to penetrate both the Chinese and European markets face a complex regulatory environment."
• "This white paper provides an insightful comparison between the Chinese National Medical Products Association (NMPA) and the EU In Vitro Diagnostic Regulation (IVDR), offering a comprehensive guide for simultaneous market entry."
• "...examining the intricacies of each region’s regulatory framework, language requirement, in-country representative, manufacturers’ obligation, clinical evidence, regulatory submission, conformity assessment timeframe and post-market considerations."
• "Understanding these similarities and differences is not only essential for compliance, but pivotal for establishing effective market strategies."
</t>
  </si>
  <si>
    <t>• Explanation: The core external force shaping market entry is the regulatory complexity inherent in the EU IVDR, which manufacturers must master for simultaneous market entry. The analysis confirms that a comprehensive understanding of the IVDR’s requirements—specifically focusing on clinical evidence, manufacturers’ obligation, and conformity assessment timeframe—is crucial for compliance and "pivotal for establishing effective market strategies".</t>
  </si>
  <si>
    <t>• "This is also beneficial for Chinese manufacturers entering the European market and vice versa, examining the intricacies of each region’s regulatory framework..."
• "Navigating multiple regulations can be challenging when launching medical devices in a global market."</t>
  </si>
  <si>
    <t>• Explanation: The sources explicitly confirm the strategic necessity of providing guidance for "Chinese manufacturers entering the European market", validating this expansion as a current strategic focus. Furthermore, the general difficulty of launching medical devices globally due to the need to navigate "multiple regulations" reinforces the high barrier to entry for international expansion.</t>
  </si>
  <si>
    <t>The expansion potential of Chinese IVD suppliers in Europe is currently defined by the need to navigate a "complex regulatory environment". The primary theme extracted from the sources is that mastery of the EU In Vitro Diagnostic Regulation (IVDR), specifically compared to China’s NMPA, is "pivotal for establishing effective market strategies". Key regulatory risks and opportunities lie in addressing the specifics of clinical evidence requirements, manufacturers' obligations, and conformity assessment timeframes under IVDR. While the focus confirms that Chinese manufacturers entering the European market is a current strategic topic, the analysis suffers from significant gaps. Crucially, the sources fail to provide insights into post-approval barriers such as Access &amp; Reimbursement, budget spend/tenders, and customer receptivity, which are typically major determinants of commercial success. Therefore, while the opportunity exists for regulatory compliance to unlock market entry in the collective EU geography, the absence of data regarding pricing, adoption, and competitive dynamics limits the strategic assessment of whether market expansion will translate into commercial gains. Effectively, the current evidence addresses the requirement to enter the door but ignores the mechanisms required to sell once inside the building.</t>
  </si>
  <si>
    <r>
      <rPr>
        <rFont val="Roche Sans"/>
        <color rgb="FF1155CC"/>
        <u/>
      </rPr>
      <t>https://docs.google.com/document/d/1KWqiQRt4NvZuv2_3GC2UQWi7agGABNUshk7Pk_lRDTM/edit?tab=t.gd6lsahee193</t>
    </r>
    <r>
      <rPr>
        <rFont val="Roche Sans"/>
        <color rgb="FF000000"/>
      </rPr>
      <t xml:space="preserve"> </t>
    </r>
  </si>
  <si>
    <t>AB ANALITICA x SNIBE Partnership – July 22, 2024</t>
  </si>
  <si>
    <t>AB ANALITICA (on its official website)</t>
  </si>
  <si>
    <t>Industry / Company Press Release / Partnership Announcement</t>
  </si>
  <si>
    <t>The press release announces that AB ANALITICA and SNIBE have entered a distribution partnership in Italy for SNIBE’s “Molecision R8” platform. The collaboration aims to develop and commercialize next‑generation molecular diagnostic tests (PCR‑based) on the Molecision R8 fully‑automated molecular diagnostics system. Through this, they plan to expand diagnostic capacity in fields including infectious diseases, genetics, and oncology, combining AB ANALITICA’s molecular‑test development expertise with SNIBE’s automation technology and global reach.</t>
  </si>
  <si>
    <r>
      <rPr>
        <rFont val="Roche Sans"/>
        <color rgb="FF0000FF"/>
        <sz val="10.0"/>
      </rPr>
      <t>https://www.abanalitica.com/en/press-release/ab-analitica-x-snibe-partnership-july-22-2024-2/#:~:text=AB%20ANALITICA%20and%20SNIBE%20are,molecular%20tests%20on%20this%20platform
https://www.news-medical.net/news/20240923/AB-ANALITICA-x-SNIBE-partnership-e28093-July-22-2024.aspx</t>
    </r>
    <r>
      <rPr>
        <rFont val="Roche Sans"/>
        <color rgb="FF0000FF"/>
        <sz val="10.0"/>
      </rPr>
      <t xml:space="preserve"> </t>
    </r>
  </si>
  <si>
    <t>Italy, Slovenia.</t>
  </si>
  <si>
    <t>Snibe</t>
  </si>
  <si>
    <t>• "AB ANALITICA and SNIBE are proud to announce a distribution partnership in Italy for SNIBE Molecision R8 platform, and both companies will focus on the development and commercialization of next-generation molecular tests on this platform."
• "This partnership aims to leverage AB ANALITICA’s expertise in developing molecular diagnostic tests and SNIBE’s strength in cutting-edge automation systems."
• "Together, the two companies are poised to redefine the standards of molecular testing, with the goal of improving diagnostic quality and making high-level technologies more accessible."
• "The platform’s fully automated workflow reduces manual handling time and minimizes the risk of human error."
• “We are extremely excited about this partnership with SNIBE, an internationally renowned company,” said Dino Paladin, Founder of AB ANALITICA."</t>
  </si>
  <si>
    <t>Brief Explanations: This evidence matters because the most effective strategy for a Chinese supplier (SNIBE) to gain customer trust and market adoption in a specific European country (Italy) is through strategic partnership with an established local expert (AB ANALITICA). The local partner provides immediate credibility and market access, enabling SNIBE to leverage its automation technology with AB ANALITICA's specialized molecular testing expertise. The core value proposition driving receptivity is the delivery of a fully automated, integrated solution (Molecision R8) that promises to improve diagnostic quality, provide high sensitivity/specificity, and streamline analysis processes by minimizing manual errors.</t>
  </si>
  <si>
    <t>• "SNIBE (Shenzhen New Industries Biomedical Engineering Co., Ltd.), founded in 1995, is a global leader in automated in-vitro diagnostics."
• "The company is renowned for technological innovation, particularly focusing on chemiluminescence immunoassay (CLIA) automation field."
• "AB ANALITICA has established itself as a leading developer of in vitro diagnostic tests using molecular technologies."
• "Molecision R8 is a fully-auto and highly integrated molecular diagnostics system that completes whole PCR testing process in one analyzer."
• "Molecular tests developed on the Molecision R8 platform will significantly expand diagnostic capabilities in the fields of infectious diseases, genetics, and oncology, delivering high sensitivity and specificity."
• "AB ANALITICA and USTAR Announce Strategic Partnership to Advance Molecular Point-of-Care Diagnostics in Italy – June 2025"</t>
  </si>
  <si>
    <t>Explanations: These details highlight the specific technological convergence fueling the expansion: SNIBE is deploying molecular diagnostics (Molecision R8, PCR), despite being globally recognized for CLIA automation. This indicates an important diversification or expansion strategy for the Chinese supplier to compete in high-growth molecular sectors. AB ANALITICA's focus areas (infectious diseases, genetics, oncology) represent major global disease burdens, suggesting the partnership targets high-priority clinical needs. Furthermore, AB ANALITICA’s concurrent strategic partnership with USTAR, also in Italy, shows that the local partner is actively pursuing multiple technology platforms (Molecular POC), suggesting a competitive environment where labs seek diverse solutions.</t>
  </si>
  <si>
    <t>The expansion of Chinese IVD suppliers into the European market, evidenced by the SNIBE-AB ANALITICA partnership, relies heavily on establishing distribution channels through local experts in key geographies, specifically Italy. This strategy focuses on the high-growth sector of molecular diagnostics, leveraging SNIBE’s advanced automation capabilities (Molecision R8 platform) to address crucial clinical areas like infectious diseases, genetics, and oncology. The core opportunity is enhancing customer adoption by offering a fully automated workflow that promises to improve precision and quality while minimizing human error, a strong value proposition for clinical laboratories. SNIBE is effectively using AB ANALITICA, a recognized molecular developer in Italy, to enter this segment, showcasing a willingness to diversify beyond its historical global strength in CLIA automation. However, this evidence-based analysis reveals critical strategic risks and gaps in understanding the external forces shaping market access [Gaps]. The sources do not address the complex economic drivers, providing no information on access, reimbursement structures, or specific budget spend policies that dictate technology adoption rates in the Italian healthcare system [Gaps]. Furthermore, there is a lack of insight into the regulatory burdens associated with device approval and maintenance in the EU, which is a crucial hurdle for Chinese expansion [Gaps]. The strategy assumes that technological merit and local presence alone will secure widespread adoption [4, Assumptions].</t>
  </si>
  <si>
    <r>
      <rPr>
        <rFont val="Roche Sans"/>
        <color rgb="FF1155CC"/>
        <u/>
      </rPr>
      <t>https://docs.google.com/document/d/1KWqiQRt4NvZuv2_3GC2UQWi7agGABNUshk7Pk_lRDTM/edit?tab=t.lyfbv7jd0tt7</t>
    </r>
    <r>
      <rPr>
        <rFont val="Roche Sans"/>
        <color rgb="FF000000"/>
      </rPr>
      <t xml:space="preserve"> </t>
    </r>
  </si>
  <si>
    <t>EU Restricts Access of Chinese Medical Devices to the European Market</t>
  </si>
  <si>
    <t>Baker McKenzie (InsightPlus / Client Alert)</t>
  </si>
  <si>
    <t>Legal / Regulatory Analysis / News‑alert (Industry insight)</t>
  </si>
  <si>
    <t>The article describes that, under Commission Implementing Regulation (EU) 2025/1197, adopted 19 June 2025, contracting authorities/entities in all EU member states must exclude suppliers “originating in the People’s Republic of China” from public tenders for medical devices if the contract value exceeds €5 million (net). 
In addition, even non‑Chinese bidders must ensure that no more than 50% of the value of supplied devices/components comes from China. Otherwise, the bid may be excluded or penalised. The regulation covers a broad range of medical devices — including imaging suites, laboratory analyzers, consumables, and other items captured under CPV codes 33100000‑1 to 33199000‑1. 
The move is part of the EU’s first‑ever use of the International Procurement Instrument (IPI) to address perceived unfair access for EU medical‑device makers to China’s procurement market.</t>
  </si>
  <si>
    <t>https://www.bakermckenzie.com/en/insight/publications/2025/07/eu-restricts-chinese-medical-devices-to-the-euro-market#:~:text=value%20of%20above%20EUR%205,consumables%20covered%20by%20framework%20agreements</t>
  </si>
  <si>
    <t>France, Germany, Hungary, Italy, Luxembourg, Netherlands, Poland, Spain, Sweden, Switzerland, Türkiye, Ukraine, United Kingdom.</t>
  </si>
  <si>
    <t>• "Public tenders account for roughly two thirds of all medical devices revenue in the EU."
• "Contracting authorities/entities of the EU Member States must now exclude Chinese companies from all public procurement opportunities for the sale of medical devices in the EU if the total contract value exceeds EUR 5 million (net)."
• "Contracts with a total value of above EUR 5 million, which are now mostly shielded from Chinese input, are said to represent almost 60% of the total value of all EU medical-device tenders..."</t>
  </si>
  <si>
    <t>• Explanation 1: This evidence matters because the market access for Chinese IVD suppliers, particularly for high-volume instrument placements and consumables, is overwhelmingly dependent on public sector procurement, which is now largely closed off by the IPI measure.
• Explanation 2: This is a direct regulatory bar on market access and effective reimbursement (via public funding) for the most valuable contracts, significantly limiting the expansion potential of Chinese IVD firms.
• Explanation 3: The restrictions target the highest-value segment of the EU public procurement market, ensuring that the majority of potential revenue from large framework agreements is inaccessible to Chinese competitors.</t>
  </si>
  <si>
    <t>• "In 2023 alone, this reportedly translated into almost EUR 100 billion in annual purchases by national health ministries, regional health funds, hospitals and other contracting authorities/entities."
• "With regard to framework agreements and dynamic purchasing systems, the value to be taken into consideration shall be the maximum estimated value net of VAT of all the contracts envisaged for the total term of the framework agreement or the dynamic purchasing system."</t>
  </si>
  <si>
    <t>• Explanation 1: This quote establishes the enormous scale of the EU public medical device market (including IVD), highlighting what Chinese suppliers are now largely excluded from.
• Explanation 2: This detail ensures that Chinese suppliers cannot easily circumvent the €5 million threshold by claiming low initial annual spend if the total value of a multi-year budget commitment (such as a multi-year IVD reagent contract) exceeds the limit.</t>
  </si>
  <si>
    <t>• "After EU suppliers of medical devices have arguably been denied fair access to Chinese government contract opportunities for years, the EU has now responded with Implementing Regulation (EU) 2025/1197 that requires contracting authorities/entities in all EU member states to exclude Chinese suppliers..."
• "Moreover, successful bidders are required to guarantee that no more than 50% of their materials or components for the public contract or framework agreement originate from China."
• "The IPI restriction of the access of economic operators and medical devices originating in the People's Republic of China applies in all categories of medical devices categorized under the Common Procurement Vocabular (CPV) codes 33100000-1 to 33199000-1..."
• "This means that even economic operators of other countries can be deemed as 'Chinese' if they are controlled by Chinese companies or persons."</t>
  </si>
  <si>
    <t>• Explanation 1: This names the specific regulation and geopolitical context (reciprocal action) that forms the core external force reshaping the market for Chinese IVD suppliers.
• Explanation 2: This crucial rule affects even non-Chinese IVD suppliers, forcing a massive supply chain shift away from Chinese raw materials, components, or sub-assemblies if they wish to compete for major EU tenders.
• Explanation 3: This defines the regulatory scope using official CPV codes, confirming the mandatory exclusion across a "wide variety of medical products."
• Explanation 4: This broadens the regulatory net beyond Chinese-registered companies, forcing any EU subsidiary of a Chinese IVD company to prove substantive local operations or face exclusion, complicating entry strategies like local acquisition or subsidiary setup.</t>
  </si>
  <si>
    <t>• "Exceptions are only possible where no alternative suppliers are available."
• "...the affected contracting authorities will be national or regional central purchasing organizations, member-based purchasing associations, hospital groups, public health funds, or individual buyers, such as single hospitals, state laboratories or other public agencies requiring medical devices."</t>
  </si>
  <si>
    <t>• Explanation 1: This clause suggests that customer adoption of non-Chinese solutions is mandatory unless the product is unique or essential, forcing customers (e.g., hospitals, state laboratories) to adopt EU/non-Chinese IVD solutions even if they previously preferred Chinese equipment.
• Explanation 2: State laboratories and hospital groups are the primary customers for IVD products, meaning these entities are now legally required to reject Chinese vendors for high-value contracts, regardless of internal technical receptivity or cost advantage.</t>
  </si>
  <si>
    <t>• "...covering items such as imaging suites, laboratory analyzers, and consumables covered by framework agreements."
• "Given the expected impact of the present IPI measure on the Chinese medical products industry, it is not surprising that the Chinese Government has already indicated that it will now similarly restrict government purchases of EU medical devices (with the exception of products made by European companies in China)."
• "The IPI measure applies only to public procurement of these kinds of products if the estimated total contract value in a given tender procedure exceeds EUR 5 million for goods."</t>
  </si>
  <si>
    <t>• Explanation 1: This directly confirms that core IVD equipment ("laboratory analyzers") and associated supply items ("consumables") are within the scope of the exclusion.
• Explanation 2: This reveals a significant geopolitical risk—reciprocal trade retaliation—that immediately impacts the global strategy of European IVD companies relying on the Chinese market.
• Explanation 3: This insight reveals a strategic opportunity: Chinese IVD suppliers are not excluded from tenders below the €5 million threshold, suggesting they must pivot their European strategy to focus on smaller, localized, or highly fragmented contracts.</t>
  </si>
  <si>
    <t>The expansion potential for Chinese IVD suppliers in Europe is severely constrained by the enforcement of Implementing Regulation (EU) 2025/1197, enacted under the International Procurement Instrument (IPI). This regulation is a direct external force driven by geopolitical protectionism and alleged unfair access to Chinese tenders. The restriction applies across all EU Member States, including major geographies like France, Germany, Italy, Spain, and the UK,. The core access mechanism—public tenders—is largely eliminated, as contracts exceeding €5 million, which account for almost 60% of all EU medical device tender value, must now exclude Chinese companies,. Furthermore, non-Chinese bidders are forced into supply chain diversification, requiring them to guarantee that no more than 50% of their materials for a contract originate from China. The regulation explicitly covers IVD products such as "laboratory analyzers" and associated consumables. While the private market and public contracts valued under €5 million remain opportunities, the primary risk is the signaled reciprocal restriction by the Chinese government on EU medical device purchases. A key gap in the analysis is the lack of information on the size of the private IVD market or explicit data on customer receptivity/preference for Chinese technology.</t>
  </si>
  <si>
    <r>
      <rPr>
        <rFont val="Roche Sans"/>
        <color rgb="FF1155CC"/>
        <u/>
      </rPr>
      <t>https://docs.google.com/document/d/1KWqiQRt4NvZuv2_3GC2UQWi7agGABNUshk7Pk_lRDTM/edit?tab=t.mw8u5cw5lf2k</t>
    </r>
    <r>
      <rPr>
        <rFont val="Roche Sans"/>
        <color rgb="FF000000"/>
      </rPr>
      <t xml:space="preserve"> </t>
    </r>
  </si>
  <si>
    <t>Insights into Chinese Medical Device Companies Going Global – Popular Target Markets Overview and Key Success Factors</t>
  </si>
  <si>
    <t>Deloitte China (Life Sciences &amp; Health Care)</t>
  </si>
  <si>
    <t>Industry / Market-Access / Strategic Analysis Report</t>
  </si>
  <si>
    <t>2023-2024</t>
  </si>
  <si>
    <t xml:space="preserve">The report analyses why many Chinese medical-device companies are going global: intense domestic competition, price pressures (especially in low-value consumables), and limitations in domestic growth incentives compel export / international expansion. It evaluates seven major target markets for export/international expansion: United States, Germany, France, United Kingdom, Brazil, Malaysia, Singapore — analysing macroeconomics, healthcare systems, regulatory regimes and market‐entry barriers for each. The report also outlines success-factors: ability to offer competitively priced devices, meeting international regulatory standards, building global distribution partnerships, and possibly leveraging cost-advantage to penetrate developed markets. </t>
  </si>
  <si>
    <r>
      <rPr>
        <rFont val="Roche Sans"/>
        <color rgb="FF0000FF"/>
        <sz val="10.0"/>
      </rPr>
      <t>https://www.deloitte.com/content/dam/assets-zone1/cn/en/docs/industries/life-sciences-health-care/2025/deloitte-cn-lshc-chinese-medical-device-companies-going-global-en-240221.pdf</t>
    </r>
    <r>
      <rPr>
        <rFont val="Roche Sans"/>
        <color rgb="FF0000FF"/>
        <sz val="10.0"/>
      </rPr>
      <t xml:space="preserve"> </t>
    </r>
  </si>
  <si>
    <t>France, Germany, the UK</t>
  </si>
  <si>
    <t>MicroPort, Weigao, United Imaging, Lepu Medical, Philips Diagnosis &amp; Treatment, Roche Diagnostics, GE Healthcare, Johnson &amp; Johnson Medtech, Medtronic, BMC Medical, Mehow, LifeTech Scientific, Chuangling Heart Rhythm Management Medical Devices, Cardinal Health, McKesson, OSSIFER, Bluesail Medical, ITM Isotopen Technologien München AG, Wallaby Medical, Phenox, DiaSys, LyncMed, LivaNova, Orient Gene, AccuBio Limited, Kindly, Zhende Medical, Berendsen Healthcare, AK Medical, JRI Orthopaedics.</t>
  </si>
  <si>
    <t>◦ “Medical device prices overseas are higher than those in the domestic market.”
    ◦ “In Germany, the medical device price is determined by the health insurance system. Medical device companies expanding to Germany must be capable of negotiating favorable prices and reimbursement terms with health authorities/insurance institutions and offer innovative cooperation approaches to make their products more competitive in price”
.
    ◦ “In France, manufacturers price medical devices, but the devices reimbursed by the social health insurance are priced by manufacturers together with the Comité Economique des Produits de Santé (CEPS) by negotiation, and their three-year framework agreement specifies terms of price, payment arrangements, rebates and penalties”
.
    ◦ “if any manufacturer and CEPS fail to reach an agreement within 180 days, CEPS has the right to unilaterally set the device's reimbursement price ceiling”
.
    ◦ “Both public and private hospitals in France universally adopt the centralized procurement model, and the three public central purchasing bodies and the two private ones have strong bargaining power. When the strict and random (random selection of doctors by the evaluation committee) evaluation mechanism ensures the quality, the low price wins the bid; the bid winner will be awarded a 100% share contract with a term of 2 to 4 years, so Chinese medical device companies must have competitive scale supply capability, quality and price”
.
    ◦ “British enterprises prefer local brands, which make it difficult for Chinese companies to establish partnership with local hospitals and get on the centralized procurement list”
.</t>
  </si>
  <si>
    <t>Explanation: The opportunity is rooted in the higher margins and stable product prices available overseas compared to China. However, capitalizing on this requires rigorous engagement with health systems. In Germany, expansion mandates Chinese suppliers to possess robust capabilities for negotiating favorable prices and reimbursement terms with authorities. The French market presents a high-stakes process where reimbursement for devices relies on negotiation with the Comité Economique des Produits de Santé (CEPS), which has the power to unilaterally set price ceilings if manufacturers fail to reach an agreement within 180 days. Furthermore, French public and private procurement models favor the lowest price for guaranteed quality, offering successful bidders 100% market share contracts, thereby demanding strong scale supply and cost control capabilities from Chinese IVD firms. Finally, in the UK, preference for local brands complicates establishing partnerships essential for inclusion on centralized procurement lists.</t>
  </si>
  <si>
    <t>◦ “The global medical device market totaled over USD480 billion in 2021, with the U.S. as the largest market (&gt;40%) and Western Europe as the second largest (~25%)”
.
    ◦ “Germany 34.2 [USD bn] 6.5% [CAGR]”
.
    ◦ “France 17.8 [USD bn] 6.4% [CAGR]”
.
    ◦ “UK 14.2 [USD bn] 8.0% [CAGR]”
.
    ◦ “The consumables sector and the diagnostic imaging sector dominated the UK medical device market, accounting for more than 20% of the market share.”
.
    ◦ “Primary [care], involving the policlinic and the community clinic, usually provided by professionals such as GPs, comprising 75% of the NHS budget”
.</t>
  </si>
  <si>
    <t>• Explanation: Western Europe constitutes the second largest global market for medical devices, representing approximately 25% of the total, affirming its significant spending capability. Key markets like Germany (USD 34.2 billion), France (USD 17.8 billion), and the UK (USD 14.2 billion) show large existing budgets and healthy growth rates. Crucially for IVD, the consumables sector and the diagnostic imaging sector dominate the UK market (accounting for over 20% of the market share). Moreover, the vast majority (75%) of the UK’s centralized National Health Service (NHS) budget is allocated to primary care, guiding IVD companies toward diagnostics suited for decentralized or community care settings.</t>
  </si>
  <si>
    <t xml:space="preserve"> ◦ “The global MedTech industry is a relatively open market. Most countries adopt similar regulatory requirement procedures despite the difficulty (time &amp; efforts needed) of product registration varies.”
    ◦ “Under the EU Medical Devices Regulation (MDR) and In-Vitro Diagnostic Medical Devices Regulation (IVDR):... The French National Agency for Medicines and Health Products Safety (ANSM), under the guidance of CAMD, regulates the medical device and in vitro diagnostic reagent market, authorizing clinical trials, inspecting the manufacturer site, and reviewing the conformity of devices that are being marketed, to ensure safety and effectiveness”
.
    ◦ “Class II and Class III medical devices are subject to the review of the third-party notified body certified by the EU MDCG, which will assess the application information, audit the manufacturer's quality management system, and issue a certificate of conformity; after obtaining this certificate, the manufacturer must make the declaration of conformity and the CE mark available before the product is marketed”
.
    ◦ “The EU MDR requires manufacturers outside the EU to designate a legally authorized representative within the EU to respond to competent authorities' requests, provide necessary information and documentation, cooperate in taking preventive or corrective actions, and make timely adjustments for compliance”
.
    ◦ “The UK introduced a separate UKCA marking after Brexit. The previous EU CE marking is valid until June 30, 2024, and thereafter, the UKCA marking is required when the product is marketed in the UK market”
.
    ◦ “The MRHA requires that if a manufacturer is located outside the UK, a UK Responsible Person (UKRP) must be designated to deal with all matters relating to the registration of the manufacturer's products in the UK”
.</t>
  </si>
  <si>
    <t>• Explanation: While the global market is generally open, regulatory barriers lie in the time and effort required for product registration, which depends heavily on the device’s classification. European IVD devices are specifically regulated under the EU MDR and IVDR. For high-risk products (Class II and Class III), obtaining the necessary CE mark requires meticulous assessment and auditing of the manufacturer’s quality management system by a Notified Body. A mandatory administrative requirement for non-EU manufacturers is designating a legally authorized representative within the EU to handle official communication and compliance. Furthermore, the UK’s exit from the EU introduced regulatory divergence, requiring Chinese suppliers to obtain the separate UKCA marking after June 30, 2024, and designate a UK Responsible Person (UKRP) to handle UK registrations.</t>
  </si>
  <si>
    <t>Quotes:
    ◦ “Enhanced overseas recognition of Chinese medical devices during the COVID-19 pandemic, especially low-value consumables with low technical barriers and middle- and low-end medical equipment, laying a solid foundation for Chinese medical device companies to go global”
.
    ◦ “Under the localization trend in countries, it is not likely for overseas users to recognize and accept Chinese products in a short term, which challenges device companies to build and stabilize marketing and sales channels.”
.
    ◦ “German consumers and medical companies prefer local, American, or other European companies, Chinese companies must strengthen their local manufacturing and operation capabilities in Germany to enhance market awareness and acceptance.”
.
    ◦ “British enterprises prefer local brands, which make it difficult for Chinese companies to establish partnership with local hospitals and get on the centralized procurement list”
.</t>
  </si>
  <si>
    <t>Explanation: Chinese IVD manufacturers gained a temporary advantage from the enhanced overseas recognition during the COVID-19 pandemic, particularly for low-value consumables and middle- to low-end equipment. However, achieving long-term adoption is hampered by the strong localization trend and inherent difficulties in persuading overseas users to accept Chinese products quickly, making stabilizing sales channels a challenge. Specifically in Germany, customers strongly favor local, American, or other European companies. To mitigate this preference, Chinese companies must invest in strengthening local manufacturing and operation capabilities in Germany to foster market awareness and acceptance. In the UK, this preference for local brands directly creates obstacles for Chinese companies seeking critical partnerships and inclusion on centralized procurement lists.</t>
  </si>
  <si>
    <t xml:space="preserve"> ◦ “The global medical device market totaled over USD480 billion in 2021, with the U.S. as the largest market (&gt;40%) and Western Europe as the second largest (~25%)”
.
    ◦ “Orthopedic device price plummets after centralized procurement”
.
    ◦ “China (13%) was Germany's second largest medical device supplier, without considering EU countries. In 2020, diagnostic imaging devices accounted for approximately 30% of China's exports (mainly electrodiagnostic apparatus)”
.
    ◦ “In Germany, non-communicable diseases are the leading cause of death and morbidity, and changes in lifestyle and population structure determine their incidence rate. Cardiovascular diseases and cancers remain dominating, while the incidence rate of dementia, diabetes, mental health problems and musculoskeletal diseases is also rising”
.
    ◦ “Mindray Medical announced on Nov 30, 2023, on the acquisition cutover of 75% equity of German company DiaSys to improve its overseas supply chain platform and make it more competitive in the German market”
.
    ◦ “Although some European countries have tightened policies on Chinese investment due to geopolitical factors, Europe is still an important market to enhance Chinese company’s product, technology and service capabilities, and brand value”
.
    ◦ “Chinese medical device companies may face challenges of culture integration, cross-regional power and responsibility division, and corporate culture and change management. Designing organizational structures and management models is challenging.”
.</t>
  </si>
  <si>
    <t>• Explanation: The severe plunge in domestic prices (such as orthopedic devices) following centralized procurement acts as a primary push factor driving Chinese suppliers towards the more lucrative European market. Western Europe is confirmed as a massive target, representing approximately 25% of the global market. Competition insights reveal China already holds a significant import position in Germany (13%), with diagnostic imaging being a major component of those exports, demonstrating existing capacity and market acceptance in a core IVD sector. The chronic disease burden in Germany—especially cardiovascular diseases and cancers—drives substantial, ongoing demand for diagnostic solutions. Geopolitical factors are acknowledged, as some European countries have tightened policies on Chinese investment, yet Europe remains a vital market for enhancing a Chinese company's global product quality, technological capability, and brand value. Strategically, leading Chinese firms utilize M&amp;A of local firms (Mindray acquiring DiaSys) to immediately improve supply chain and competitiveness. Finally, internal organizational friction, including challenges of culture integration and cross-regional power division, poses major operational risks to global expansion efforts.</t>
  </si>
  <si>
    <t>Chinese IVD suppliers are strongly incentivized to expand into Western Europe, the second-largest global market, primarily to escape severe domestic centralized procurement price crashes and pursue stable, high product prices found overseas. Key markets like Germany and the UK offer significant budget pools, particularly within the dominating diagnostic imaging and consumables sectors. However, market access is difficult: the regulatory landscape requires mastering the complex auditing process for high-risk devices under the EU MDR/IVDR, designating EU Authorized Representatives, and managing the diverging UK market requirements (UKCA marking and UK Responsible Persons). Customer receptivity is a fundamental adoption challenge, as local and Western brand preference persists, making the building of stable marketing channels and accessing lucrative centralized procurement lists difficult. Strategically, leading players like Mindray counter these barriers via high-investment localization models, notably through M&amp;A of local entities (like DiaSys), which bypasses immediate channel and branding hurdles. Success hinges on not just price competitiveness—which is China's strength—but also mitigating internal culture integration and organizational design risks and navigating evolving geopolitical tightening that affects investment.</t>
  </si>
  <si>
    <r>
      <rPr>
        <rFont val="Roche Sans"/>
        <color rgb="FF1155CC"/>
        <u/>
      </rPr>
      <t>https://docs.google.com/document/d/1KWqiQRt4NvZuv2_3GC2UQWi7agGABNUshk7Pk_lRDTM/edit?tab=t.kk9cyoq8i7qg</t>
    </r>
    <r>
      <rPr>
        <rFont val="Roche Sans"/>
        <color rgb="FF000000"/>
      </rPr>
      <t xml:space="preserve"> </t>
    </r>
  </si>
  <si>
    <t>Mindray Has Completed Its Acquisition of a Controlling Stake in DiaSys Diagnostic Systems GmbH</t>
  </si>
  <si>
    <t>Mindray (Corporate / News-release page)</t>
  </si>
  <si>
    <t>Company Press Release / Industry News / M&amp;A Announcement</t>
  </si>
  <si>
    <t>The release announces that Mindray has acquired a 75% equity stake in DiaSys, making DiaSys a majority-owned subsidiary. The acquisition is intended to strengthen Mindray’s global IVD business by leveraging DiaSys’s established expertise in clinical-chemistry reagents, calibrators/controls, and its global supply-chain and manufacturing footprint (Europe, APAC, Latin America). Mindray cites this as a strategic step to accelerate overseas supply-chain platform building and expand its IVD offering — especially for larger-volume customer segments globally.</t>
  </si>
  <si>
    <t xml:space="preserve">https://www.diasys-diagnostics.com/company/news/details/news-article/mindray-has-completed-acquisition-of-a-controlling-stake-in-diasys-diagnostic-systems-gmbh/#:~:text=2023,in%20DiaSys%20Diagnostic%20Systems%20GmbH </t>
  </si>
  <si>
    <t>Germany.</t>
  </si>
  <si>
    <t>• "Customers in more than 140 countries have trusted these state-of-the-art reagents, lab systems and service."
• "By providing innovative products, DiaSys will remain a reliable partner to global healthcare systems."
• "Mindray is committed to creating customer value with comprehensive solutions through cutting-edge technological innovation, improving medical conditions, and enhancing efficiency."</t>
  </si>
  <si>
    <t>Explanation: Customer receptivity is strongly enhanced through the acquisition model, as Mindray immediately gains access to DiaSys’s reputation as a "reliable partner" trusted by customers across "more than 140 countries". This localized, established credibility minimizes the typical adoption barriers faced by non-European entrants. Mindray's strategic goal is to offer "comprehensive solutions," suggesting an understanding that successful market penetration requires integrated offerings rather than just selling discrete devices.</t>
  </si>
  <si>
    <t>• "Mindray has completed acquisition of a controlling stake in DiaSys Diagnostic Systems GmbH"
• "This strategic alignment aims to substantially strengthen the joint global competitive edge in the in-vitro diagnostics business."
• "Mindray is a leading high-tech medical device manufacturer in China, and one of the global leaders in medical innovation."
• "The acquisition will allow us to expedite the development of our overseas supply chain platform..."
• "...DiaSys has built an extensive global supply chain system, with production facilities across Europe, APAC, and Latin America."
• "...provide access to a talented international team..."
• "...leveraging our extensive experience in global integration to achieve effective synergistic growth for both companies.”</t>
  </si>
  <si>
    <t>Explanation: The dominant external force shaping Chinese IVD expansion into Europe is the M&amp;A strategic model. By acquiring a controlling stake in the German-headquartered DiaSys, Mindray (a leading Chinese manufacturer) bypasses the slow process of organic build-out,. This move provides crucial assets for European operations, including a functional "overseas supply chain platform," "production facilities across Europe," and "access to a talented international team",. This synergistic approach is explicitly aimed at substantially strengthening their "joint global competitive edge".</t>
  </si>
  <si>
    <t>Mindray’s acquisition of DiaSys, a firm headquartered in Germany with production facilities across Europe, confirms that the primary theme of Chinese IVD expansion relies on strategic M&amp;A rather than organic growth,. This approach immediately strengthens Mindray's global competitive edge and provides rapid access to established infrastructure,. The expansion potential is significantly boosted by the acquired assets, including an existing "overseas supply chain platform" and "talented international team," crucial components for scaling operations outside of China. Regulatory preparedness is confirmed, as DiaSys maintains established compliance structures, including explicit focus on IVDR and quality management, indicating that strict EU regulation is a key external force the combined entity is prepared to address. Furthermore, customer receptivity is enhanced because Mindray leverages DiaSys’s pre-existing reputation as a "reliable partner" trusted by customers in over 140 countries. However, critical gaps remain in the strategic assessment, specifically the lack of evidence concerning national reimbursement protocols, budget structures, and pricing pressures, which are essential factors defining market access and risk in European healthcare systems,. This strategic acquisition represents a major opportunity for Mindray to integrate high-quality clinical chemistry products and solidify its standing as a comprehensive solution provider,.</t>
  </si>
  <si>
    <t>https://docs.google.com/document/d/1KWqiQRt4NvZuv2_3GC2UQWi7agGABNUshk7Pk_lRDTM/edit?tab=t.ipqxqsmtfwww</t>
  </si>
  <si>
    <t xml:space="preserve">EU-China trade dispute over medical devices escalates as Beijing promises retaliation over EU procurement curbs </t>
  </si>
  <si>
    <t>Chartered Institute of Export &amp; International Trade (UK Export reference</t>
  </si>
  <si>
    <t>Industry / Trade-News / Regulatory-Policy Report</t>
  </si>
  <si>
    <t>The article reports that the European Commission (EC) has introduced restrictions under its new International Procurement Instrument (IPI), barring companies “originating in” People’s Republic of China (PRC) from bidding for EU public procurement tenders for medical devices if the contract exceeds €5 million. Additionally, successful bids must ensure no more than 50 % of supplied medical-device products/components originate from China. The EC argues these measures are in response to China’s exclusionary practices that have disadvantaged EU med-tech companies in China’s public procurement market — reportedly 87% of public procurement contracts in China had discriminatory provisions against EU-made medical devices or EU suppliers. The article adds that the Chinese government (via its commerce/finance ministries) has vowed “necessary steps” to protect Chinese enterprises — signalling potential retaliatory measures against EU med-tech suppliers.</t>
  </si>
  <si>
    <t>https://www.export.org.uk/insights/trade-news/eu-china-trade-dispute-over-medical-devices-escalates-as-beijing-promises-retaliation-over-eu-procurement-curbs/#:~:text=According%20to%20the%20commission%2C%2087,medical%20devices%20and%20EU%20suppliers%E2%80%9D</t>
  </si>
  <si>
    <t>Germany, UK, EU (General).</t>
  </si>
  <si>
    <t>• "The threat comes after the EU set out plans to restrict Chinese participation in its procurement processes for medical devices towards the end of last week."
• "The new curbs 'exclude Chinese companies from EU government purchases of medical devices exceeding €5m', the bloc explained."</t>
  </si>
  <si>
    <t>Explanations This evidence is critical because market access for Chinese IVD suppliers is now directly limited by EU policy on public tenders. The "new curbs" restrict Chinese companies from securing large-scale governmental contracts (those exceeding €5m). In public healthcare systems, like those prevalent across Europe, public procurement defines a significant portion of IVD purchasing, making these restrictions a major impediment to expansion potential, irrespective of product quality or price.</t>
  </si>
  <si>
    <t xml:space="preserve">• "The new curbs 'exclude Chinese companies from EU government purchases of medical devices exceeding €5m', the bloc explained."
</t>
  </si>
  <si>
    <t>Explanations The explicit monetary threshold of €5 million defines a critical budget barrier. This means that while Chinese suppliers might still compete for smaller, local, or specialized tenders, they are systematically blocked from capturing the high-value, large-volume central contracts that often define market leadership and sustained regional budget spend.</t>
  </si>
  <si>
    <t>• "In a notice from the European Commission (EC) announcing the restrictions, EU trade chief Maroš Šefčovič said that, while the EU remains 'committed to dialogue with China to resolve these issues', the 'aim with these measures is to level the playing field for EU businesses'."
• "It also argues that China has imposed 'significant and recurring legal and administrative barriers to its procurement market'."</t>
  </si>
  <si>
    <t>Explanations The European Commission (EC) is the authoritative body implementing these restrictions, demonstrating that the regulatory/administrative framework is being leveraged to achieve protectionist trade policy aims. Furthermore, the EU justifies its actions by claiming that China imposes "legal and administrative barriers", highlighting that administrative complexity and legal maneuvering are key instruments used by both blocs to restrict market entry for medical devices, which includes IVD products.</t>
  </si>
  <si>
    <t>The expansion potential of Chinese IVD suppliers in Europe is currently severely constrained by escalating geopolitical tensions and subsequent trade protectionism, representing the most significant external force. The core mechanism of restriction is the regulatory environment, specifically the European Commission's new curbs on public procurement, which block Chinese firms from winning government medical device contracts exceeding €5 million. This directly impacts budget structures and market access across the EU, although specific geographies like Germany and the UK are mentioned in broader context. The EU justifies these actions by citing China's own highly restrictive practices, where 87% of its procurement contracts allegedly discriminate against EU suppliers. The primary risk is further Chinese retaliation, which is hinted at and could create additional barriers for European operations. A significant gap in analysis exists because the sources lack data on the IVD segment specifically, the private procurement market, and crucial end-user customer receptivity, meaning the full extent of adoption barriers cannot be fully evaluated. Ultimately, while Chinese IVD firms may still compete for smaller tenders, sustained large-scale expansion depends less on competitive pricing and more on the fraught resolution of high-level political disputes and accusations of coercive trade practices.</t>
  </si>
  <si>
    <r>
      <rPr>
        <rFont val="Roche Sans"/>
        <color rgb="FF1155CC"/>
        <u/>
      </rPr>
      <t>https://docs.google.com/document/d/1KWqiQRt4NvZuv2_3GC2UQWi7agGABNUshk7Pk_lRDTM/edit?tab=t.vuzgyi7urndy</t>
    </r>
    <r>
      <rPr>
        <rFont val="Roche Sans"/>
        <color rgb="FF000000"/>
      </rPr>
      <t xml:space="preserve"> </t>
    </r>
  </si>
  <si>
    <t>Regulating medical devices in the UK</t>
  </si>
  <si>
    <t>GOV.UK / MHRA guidance</t>
  </si>
  <si>
    <t>Regulatory / Legal Guidance Document</t>
  </si>
  <si>
    <t>The guidance explains how medical devices (including in-vitro diagnostic devices, IVDs) can be placed on the market in Great Britain (England, Wales, Scotland), Northern Ireland, and how they relate to EU market rules. It outlines: the role of MHRA; obligations for manufacturers and suppliers (registration, conformity assessments, labelling, post-market surveillance); marking/conformity options (UKCA mark for UK; CE mark for EU); need for a “UK Responsible Person” for non-UK manufacturers; transitional arrangements for CE-marked devices; and differences in rules under the Northern Ireland Protocol</t>
  </si>
  <si>
    <t>https://www.gov.uk/guidance/regulating-medical-devices-in-the-uk#:~:text=MDR%20,devices%20and%20reusable%20surgical%20instruments</t>
  </si>
  <si>
    <t>European Union (EU), Great Britain (England, Wales, and Scotland), Northern Ireland, and the UK.</t>
  </si>
  <si>
    <t>• "Where any new registrations or changes to existing registrations are made, a £240 standard fee will apply per application."</t>
  </si>
  <si>
    <t>Explanation: This provides a specific, quantifiable administrative cost that Chinese suppliers must factor into their operating budget for gaining market entry in Great Britain, demonstrating a direct financial requirement associated with the mandatory registration process.</t>
  </si>
  <si>
    <t>• "The in vitro Diagnostic Medical Devices Regulation (Regulation 2017/746) (EU IVDR ) has applied in EU Member States and Northern Ireland since 26 May 2022.",
• "if you are a medical device manufacturer based outside the UK and wish to place a device on the Great Britain market, you need to appoint a single UK responsible person for all of your devices, who will act on your behalf to carry out specified tasks, such as registration"
• "IVDs compliant with the EU in vitro diagnostic medical devices directive (IVDD) can be placed on the Great Britain market up until the sooner of expiry of certificate or 30 June 2030"
• "IVDs compliant with the EU in vitro diagnostic medical devices regulation (EU IVDR ) can be placed on the Great Britain market up until 30 June 2030"
• "To place a device on the EU market you must adhere to the relevant EU legislation and affix a CE mark to demonstrate compliance."
• "If you are a manufacturer based in Great Britain or another country outside the EU, you must appoint an authorised representative based in the EU or Northern Ireland if you wish to supply devices to the EU market."
• "The UKCA marking is not recognised in the EU, EEA or Northern Ireland markets"
• "Any mandatory third-party conformity assessment for the CE marking must be carried out by an EU notified body."</t>
  </si>
  <si>
    <t>Explanation: The application of the EU IVDR in EU Member States and Northern Ireland sets the primary, stringent compliance threshold that Chinese manufacturers must meet to access the majority of the European market,. Accessing the Great Britain market requires a UK responsible person to be appointed by non-UK manufacturers, adding a mandatory structural cost and legal intermediary for market entry. Crucially, Great Britain offers generous transitional timelines, accepting IVDs compliant with the older EU IVDD or the new EU IVDR until June 30, 2030, which favors manufacturers who prioritize the CE marking. The CE mark remains the essential gateway for the EU market, necessitating assessment by an EU notified body, while the UKCA marking is explicitly unusable in the rest of Europe. Manufacturers based outside the EU (including China) must also appoint an authorised representative based in the EU or Northern Ireland to supply devices to the EU market.</t>
  </si>
  <si>
    <t>• "All medical devices, including in vitro diagnostic medical devices ( IVDs ), custom-made devices and systems or procedure packs, need to be registered with the MHRA before they are placed on the Great Britain market"
• "Once a medical device has been placed on the UK market, the manufacturer must submit vigilance reports to the MHRA when certain incidents occur in the UK that involve their device."
• "These measures will come into force on 16 June 2025 and will facilitate greater traceability of incidents and trends and allow the MHRA to act swiftly when needed supporting better risk management and containment of safety issues reducing harm."
• "CE and CE UKNI marked devices that can be placed on the Northern Ireland market and are qualifying Northern Ireland goods, can also be placed on the Great Britain market."
• "The responsibilities of the UK responsible person are set out in the UK MDR 2002. In summary, in addition to the above registration requirements, the UK responsible person must: * ensure that the declaration of conformity and technical documentation have been drawn up"
• "Goods bearing the combined ‘CE &amp; UKNI’ marking will not be accepted on the EU market."</t>
  </si>
  <si>
    <t>Explanation: All IVDs must be registered with the MHRA before being placed on the Great Britain market, making registration a mandatory administrative step. Post-market requirements include mandatory vigilance reports to the MHRA upon certain incidents. Furthermore, new legislation coming into force on June 16, 2025, will strengthen and clarify post-market surveillance requirements in Great Britain, requiring continuous operational adaptation by Chinese suppliers. The Northern Ireland Protocol provides a strategic avenue, allowing CE and CE UKNI marked devices deemed "qualifying Northern Ireland goods" unfettered access to the Great Britain market, potentially simplifying the compliance pathway. However, using the CE &amp; UKNI marking (which applies if a UK notified body is used for assessment) will explicitly bar the product from the broader EU market. The UK Responsible Person is responsible for ensuring the technical documentation and declaration of conformity are properly drawn up.</t>
  </si>
  <si>
    <t>The core external forces shaping Chinese IVD expansion into Europe are driven by the divergent and complex post-Brexit regulatory landscape, rather than economic factors like access or budget spend, on which the sources provide no data. The EU and Northern Ireland require adherence to the stringent EU IVDR, while Great Britain (England, Wales, Scotland) maintains its own system overseen by the MHRA. A major opportunity exists due to the UK's recognition of EU compliance, allowing IVDs compliant with the EU IVDR to be placed on the Great Britain market until June 30, 2030. This extended deadline strategically incentivizes Chinese suppliers to prioritize achieving the CE mark using an EU-recognized notified body
, as this is the only practical pathway granting broad coverage across the EU, Northern Ireland, and Great Britain.
However, market entry requires significant structural investment, including appointing a separate UK Responsible Person for Great Britain and an Authorised Representative for the EU/Northern Ireland
,. The regulatory divergence also presents complexity and risks: the UKCA marking is not recognised in the EU, and relying on the Northern Ireland unfettered access provisions using a combined CE &amp; UKNI marking excludes the product from the rest of the EU market. Furthermore, increasing post-market surveillance requirements, effective June 2025, signal rising compliance expectations in Great Britain. Overall, the greatest gap in evaluating expansion viability is the absence of data on customer receptivity and reimbursement, which are essential for determining the financial return on these mandatory regulatory investments.</t>
  </si>
  <si>
    <t>https://docs.google.com/document/d/1KWqiQRt4NvZuv2_3GC2UQWi7agGABNUshk7Pk_lRDTM/edit?tab=t.u81do8eh73jq</t>
  </si>
  <si>
    <t>The Global IVD Market: Hotgen Continues To Empower Industry Innovation</t>
  </si>
  <si>
    <t>Beijing Hotgen Biotech Co., Ltd. (company website)</t>
  </si>
  <si>
    <t>Company‑level web article / industry commentary / market‑insight article</t>
  </si>
  <si>
    <t>2020-2029F</t>
  </si>
  <si>
    <t>The article outlines how global drivers — population ageing, rising chronic diseases, demand for infectious‑disease control, and expansion of personalized medicine — are fueling growth in the global IVD market. It cites a forecast (from “Markets and Markets™”) projecting the IVD diagnostic kits market will reach USD 87.409 billion by 2029 at a CAGR of 7.7% from 2024–2029. It highlights technological advances (automation, high‑throughput, point‑of‑care, precision diagnostics) and expanding applications (chronic diseases, oncology, infectious diseases, home/primary care) as key growth enablers. The article also positions Hotgen as an active player contributing to this growth — with a broad IVD portfolio (infectious diseases, tumour markers, cardiovascular, chronic illness markers, etc.), and with products increasingly compliant with international standards.</t>
  </si>
  <si>
    <t>https://www.hotgenbiotech.com/global-ivd-market-hotgen-continues-to-empower-industry-innovation.html</t>
  </si>
  <si>
    <t xml:space="preserve">Hotgen (Beijing Hotgen Biotech Co., Ltd.).
</t>
  </si>
  <si>
    <t xml:space="preserve">• "Lagging Reimbursement Policies: In some regions, healthcare reimbursement systems have yet to fully cover advanced diagnostic tests, limiting their accessibility."
</t>
  </si>
  <si>
    <t>Explanation This evidence highlights a structural barrier that limits market access for advanced diagnostic products, which often represent the focus of innovative Chinese suppliers like Hotgen (e.g., CLIA, UPT, PCR products). If European national or regional reimbursement policies do not adequately cover novel or high-cost tests, the sales volume and expansion potential of new market entrants will be severely constrained, regardless of technological superiority.</t>
  </si>
  <si>
    <t xml:space="preserve">• "Driven by policy support and industrial capital, governments and enterprises worldwide are ramping up investments in IVD research and development."
• "In 2022, the European Union invested USD 388.57 billion in scientific research, a 6.34% year-on-year increase, fueling the continuous iteration of next-generation reagent kits and diagnostic platforms."
</t>
  </si>
  <si>
    <t>Explanation The substantial and increasing R&amp;D investment by the European Union demonstrates a commitment to fostering internal innovation and advancing next-generation diagnostic technologies. For Chinese IVD suppliers, this investment signifies two things: 1) a highly competitive domestic R&amp;D environment within the EU, and 2) a clear market expectation for continuous iteration and high technological standards that new entrants must meet to secure long-term adoption.</t>
  </si>
  <si>
    <t xml:space="preserve">• "Complex Regulatory Landscape: Regulatory standards vary significantly across countries, leading to long approval cycles and high certification costs for IVD products."
</t>
  </si>
  <si>
    <t>Explanation The complex and varying regulatory landscape is a critical external constraint for any non-European IVD supplier seeking pan-European market penetration. Lengthy approval cycles and high certification costs act as significant barriers to entry, demanding considerable strategic investment and time to comply with different national or regional regulations, such as the EU's IVDR, before commercial expansion can succeed.</t>
  </si>
  <si>
    <t xml:space="preserve">• "In vitro diagnostic (IVD) test kits, as a critical component of the modern healthcare system, are widely used in disease screening, clinical diagnosis, treatment evaluation, and health management."
• "...acceleration of global population aging, the rising prevalence of chronic diseases, increasing demand for infectious disease control, and the growing emphasis on personalized medicine, the global IVD market has been experiencing continuous expansion."
• "The rapid pace of aging has significantly increased the demand for chronic disease management."
• "IVD technologies are evolving from traditional centralized laboratory testing toward automation and high-throughput systems."
• "The rise of precision medicine imposes higher demands on the identification and analysis of specific biomarkers."
• "As a leading IVD company in China, Hotgen is dedicated to the research, development, and promotion of comprehensive in vitro diagnostic solutions."
• "...the intelligent advancement of diagnostic technologies, increasing demand at the primary care level, and the deepening adoption of personalized medicine, the IVD industry will encounter new opportunities."
</t>
  </si>
  <si>
    <t>Explanation The fundamental drivers shaping the global IVD market—aging populations, chronic disease management, infectious disease control, and the shift toward personalized medicine—represent major opportunities in the European market. Chinese suppliers like Hotgen are positioned to capitalize on these trends by leveraging their focus on automation, high-throughput systems, and user-friendly products suitable for primary care settings. Furthermore, the projected global IVD market growth to USD 87.409 billion by 2029 (7.7% CAGR) confirms a robust environment for expansion, provided structural challenges can be overcome.</t>
  </si>
  <si>
    <t>The expansion potential for Chinese IVD suppliers, exemplified by Hotgen, into the European market is supported by compelling macro-level demand drivers, yet it is significantly constrained by structural challenges. Global forces, including rapid population aging, the corresponding increase in chronic diseases, and the pivot towards personalized medicine and decentralized testing, create clear opportunities for suppliers offering high-throughput, user-friendly diagnostic platforms. The European Union's rising investment in scientific R&amp;D, reaching USD 388.57 billion in 2022, highlights an active, innovation-focused environment that Chinese suppliers must match in capability. However, the most formidable barriers are the complex regulatory landscape—which entails high certification costs and long approval cycles across diverse nations—and lagging reimbursement policies that limit the accessibility of advanced diagnostics in some regions. Strategically, the sources provide no data on the existing competitive structure within Europe nor the critical metric of customer receptivity or clinical trust toward Chinese IVD products, representing major informational gaps that must be addressed for effective market entry planning. Hotgen's stated focus on comprehensive solutions positions it to address diseases like cancer and infectious agents, but success hinges on navigating these access and regulatory risks.</t>
  </si>
  <si>
    <t>https://docs.google.com/document/d/1KWqiQRt4NvZuv2_3GC2UQWi7agGABNUshk7Pk_lRDTM/edit?tab=t.a1wqgvh0nf18</t>
  </si>
  <si>
    <t>The 2025 Medtech Standoff: navigating EU‑China Procurement barriers unlocking the In‑Country advantage</t>
  </si>
  <si>
    <t>VVR International</t>
  </si>
  <si>
    <t>Industry-insight</t>
  </si>
  <si>
    <t>The article analyzes the new landscape of medtech (medical devices / IVD) regulation and procurement resulting from recent trade‑policy moves: the EU’s use of the International Procurement Instrument (IPI) to block Chinese companies from public‑procurement contracts above €5 million, and China’s reciprocal restrictions on EU‑origin medical devices in its own public procurement (especially for high‑value equipment), effective mid‑2025. It argues these moves represent not just trade friction—but an evolving “industrial‑policy standoff” where both sides use procurement rules as leverage. The article further describes a strategic “in‑country advantage” for companies that localize manufacturing (i.e., produce within China or the EU) — since locally made devices may circumvent the restrictions. It outlines how foreign (especially European) medtech firms might adapt: by localizing production, rethinking their global sourcing/manufacturing footprint, and using contract‑manufacturing or joint‑ventures to stay competitive in both markets under the new rules.</t>
  </si>
  <si>
    <t>https://www.vvrinternational.com/the-2025-medtech-standoff-navigating-eu-china-procurement-barriers-unlocking-the-in-country-advantage-en/</t>
  </si>
  <si>
    <t>France, Germany, Ireland, the Netherlands, Switzerland.</t>
  </si>
  <si>
    <t xml:space="preserve">• "Chinese-origin companies are barred from bidding on EU public procurement contracts for medical devices with an estimated value exceeding €5 million ."
• "Successful tenderers in these contracts are prohibited from sourcing more than 50% of the total contract value in the form of medical devices originating from China."
• "With Chinese medtech firms now facing restrictions in the €90 billion EU public procurement market, they are likely to redirect their competitive efforts."
• "This could lead to increased price pressure in the EU’s private healthcare markets or in other global regions where they will seek to offload capacity."
</t>
  </si>
  <si>
    <t>These measures define the primary barrier to access, as Chinese IVD suppliers are effectively excluded from high-value EU public tenders (contracts above €5 million). This restriction severely limits access to the public health market, forcing Chinese firms to pivot their strategy toward the EU’s private healthcare markets, which will likely result in increased price competition for existing suppliers in that segment. Furthermore, the 50% sourcing cap restricts the use of Chinese components even by non-Chinese companies who successfully win these high-value tenders.</t>
  </si>
  <si>
    <t xml:space="preserve">• "Chinese-origin companies are barred from bidding on EU public procurement contracts for medical devices with an estimated value exceeding €5 million ."
• "The EU’s medtech public procurement market is valued at approximately €150 billion annually , with tenders over €5 million accounting for roughly 60% of this value, or about €90 billion per year."
</t>
  </si>
  <si>
    <t>The sources clearly delineate the budgetary segment of the European market that is restricted. The €5 million threshold is critical as it defines the boundary above which Chinese suppliers are ineligible to bid. The affected market size—approximately €90 billion per year—indicates that the vast majority of high-value capital equipment and major IVD system tenders within the public sector are now off-limits.</t>
  </si>
  <si>
    <t>• "This grievance led the Commission to launch its first-ever investigation under the International Procurement Instrument (IPI) on April 24, 2024."
• "The IPI, a regulation that entered into force in 2022, is designed to provide the EU with leverage to open third-country procurement markets by promoting reciprocity ."
• "The findings of the EU’s investigation, published in early 2025, were stark. The Commission concluded there was « clear evidence » of unfair practices, finding that a staggering 87% of public procurement tenders for medical devices in China contained exclusionary and discriminatory measures against EU-made products and suppliers."</t>
  </si>
  <si>
    <t>The core regulatory requirement shaping access is the implementation of the International Procurement Instrument (IPI). This instrument creates a new, non-traditional regulatory hurdle based on the origin of the company, with the stated objective of promoting reciprocity in global procurement markets. The EU’s action is justified by its finding that Chinese tenders demonstrated "clear evidence" of exclusionary practices, with 87% of Chinese public tenders found to be discriminatory against EU products.</t>
  </si>
  <si>
    <t>• "The global medical technology landscape has been fundamentally reshaped by a recent and escalating trade dispute between the European Union and China ."
• "The EU has long contended that while its public procurement market, one of the most open in the world, welcomed Chinese firms, European companies faced significant and recurring barriers in China ."
• "At the same time, American and other international firms may view the EU’s restrictions on Chinese suppliers as a strategic opportunity to capture market share within Europe, intensifying competition for all players ."
• "Major European medtech exporting nations, including Germany, Ireland, the Netherlands, and Switzerland , will feel the impact directly."</t>
  </si>
  <si>
    <t>The foundational external force is the geopolitical trade conflict. The restrictions imposed by the EU are a direct response to years of "significant and recurring barriers" faced by European companies attempting to access the Chinese market. Strategically, the removal of Chinese competitors from major tenders is seen as an opportunity for American and other international firms to "capture market share within Europe," which will increase competition for all players. The financial implications will be keenly felt in key trading nations like Germany, Ireland, and the Netherlands.</t>
  </si>
  <si>
    <t xml:space="preserve">The future expansion of Chinese IVD suppliers in Europe is determined by a major escalating trade dispute, formalized by the EU’s International Procurement Instrument (IPI). This regulatory instrument serves as a severe barrier to access, effectively barring Chinese-origin companies from bidding on EU public procurement contracts exceeding €5 million. The affected market segment is substantial, covering approximately €90 billion of the total annual public medtech budget, leading to an immediate closure of high-value public budget opportunities, particularly in major European exporting nations like Germany, Ireland, and the Netherlands. Consequently, Chinese firms are expected to redirect their competitive efforts toward the less-regulated EU private healthcare markets, which will likely result in increased price pressure. This market disruption is viewed as a strategic opportunity for American and other international firms to capture market share in Europe, intensifying competition for all incumbent players. The primary risk for Chinese suppliers is their sudden and immediate loss of access to the most lucrative tenders, while the opportunity lies in using aggressive pricing to dominate the competitive private market. A key information gap remains regarding specific IVD market valuation within the restricted segment and crucial insights into European customer receptivity or adoption trends toward Chinese IVD technology. The external force shaping the market is fundamentally political, transforming a commercial challenge into a compliance and geopolitical risk.
</t>
  </si>
  <si>
    <t>https://docs.google.com/document/d/1KWqiQRt4NvZuv2_3GC2UQWi7agGABNUshk7Pk_lRDTM/edit?tab=t.bhrkwonj8qcc</t>
  </si>
  <si>
    <t>Mindray Takes Home 288 IVDR CE Certificates to Cover All IVD Product Segments</t>
  </si>
  <si>
    <t>LabMedica (industry-news website)</t>
  </si>
  <si>
    <t>Industry / Market-New</t>
  </si>
  <si>
    <t xml:space="preserve">The article reports that Mindray — a China-based in-vitro diagnostics (IVD) manufacturer — obtained a CE Certificate under In Vitro Diagnostic Regulation (IVDR), issued by TÜV SÜD (a notified body). As a result, Mindray’s IVD portfolio reached 288 IVDR-certified products, covering all major IVD segments (hematology, biochemistry, immunoassay, specific proteins, HbA1c, etc.).  It notes that certifying under IVDR is critical: after the transitional period, only IVDR-certified IVD devices can be placed on the EU market. The article also emphasizes that Mindray’s certification reflects compliance with EU regulatory standards (safety, effectiveness, quality management, post-market surveillance), and positions Mindray to expand its IVD presence in European labs and hospitals. </t>
  </si>
  <si>
    <r>
      <rPr>
        <rFont val="Roche Sans"/>
        <color rgb="FF0000FF"/>
        <sz val="10.0"/>
      </rPr>
      <t xml:space="preserve">https://www.labmedica.com/industry-news/articles/294794426/mindray-takes-home-288-ivdr-ce-certificates-to-cover-all-ivd-product-segments.html#:~:text=Mindray%20,More
</t>
    </r>
    <r>
      <rPr>
        <rFont val="Roche Sans"/>
        <color rgb="FF0000FF"/>
        <sz val="10.0"/>
      </rPr>
      <t>Mindray Takes Home 288 IVDR CE Certificates to Cover All IVD Product Segments - Industry News - Labmedica.com.pdf</t>
    </r>
  </si>
  <si>
    <t>UK and EU</t>
  </si>
  <si>
    <t>Abbott, Exact Sciences, Roche, Freenome, Co-Diagnostics, Qiagen, Parse Biosciences, Puritan Medical Products, Advanced Instruments, Nova Biomedical, Diconex S.A., Mast Group, DRG Instruments, Diatron, Alifax S.r.l., Erba Mannheim, Icomes Lab, Bosch, MGI Tech, Biovendor Group, Immundiagnostik AG, Eurotrol, Absology, Noul, Oruba, Awareness Technology, Greiner Bio-One, EDAN Instruments, Getein Biotech, Fapon, Wondfo, Globe Scientific, Randox, Ozelle, Vircell, DiaSys, Sekisui Diagnostics, AllTest Biotech, Bio-Rad, Biodesix, Hologic, Blackstone, TPG, Bio-Techne, Oxford Nanopore, Terumo BCT, Hemex Health, Revvity, Sanofi, GSI Group, GenesisBPS, ELITech, Hitachi High-Tech, Lumiquick, Aoxre, Lunit, Agilent, Oxford Gene Technology.</t>
  </si>
  <si>
    <t>• "Mindray (Shenzhen, China) has obtained a CE Certificate issued by TÜV SÜD, a notified body designated under the EU's IVDR..."
• "...bringing the total number of IVDR-certified products to 288 in the company’s IVD portfolio, covering hematology, biochemistry, immunoassay, specific proteins, HbA1c, among others."
• "CE certification is a pass for products to enter the EU market and circulate freely throughout the EU."
• "After the transitional period for the implementation of the IVDR, IVD medical devices that have not obtained IVDR CE certification will be denied access to the EU market."
• "The newly launched IVDR EU 2017/746 aims to establish a modern and stricter regulatory framework to better protect the health and safety of the public and patients."
• "Mindray's success in being one of China’s first recipients of the IVDR CE certification relies heavily on its sound and effective quality management system (QMS)."
• "All Mindray's internationally marketable products have obtained IVDR certification, which reflects the recognition of the notified body of their quality, safety and effectiveness..."
• "the European Commission has initiated a targeted revision of the Medical Devices Regulation (MDR) and In Vitro Diagnostic Medical Devices Regulation (IVDR)."
• "This response to widespread calls from the medtech sector aims to streamline regulatory processes, cut costs, and expedite market access."</t>
  </si>
  <si>
    <t>Explanations The foundational external force is the stringent IVDR (Regulation 2017/746). Mindray’s successful acquisition of 288 IVDR CE certificates is crucial because obtaining this certification is the prerequisite "pass for products to enter the EU market," and failure to comply leads to denial of access. This demonstrates that high-volume expansion by a Chinese supplier is feasible by maintaining a "sound and effective quality management system (QMS)". Separately, the targeted revision of the IVDR is forecast to further ease market entry by aiming to "streamline regulatory processes, cut costs, and expedite market access" through increased predictability.</t>
  </si>
  <si>
    <t xml:space="preserve">• "With its guaranteed quality and excellent services, Mindray’s IVD products and solutions have been installed in several top-tier hospitals and laboratories across Europe."
• "The EU is a key target market for Mindray IVD to expand overseas."
</t>
  </si>
  <si>
    <t>Explanations Direct evidence of market penetration and adoption is demonstrated by the fact that Mindray's products are already "installed in several top-tier hospitals and laboratories across Europe". This indicates existing customer willingness to adopt Chinese-supplied IVD solutions, validating their operational reliability and service quality. Furthermore, Mindray's declaration that the EU is a "key target market" for expansion reflects strategic confidence in future European adoption.</t>
  </si>
  <si>
    <t>• Mindray's IVDR coverage includes "hematology, biochemistry, immunoassay, specific proteins, HbA1c, among others."
• Mindray's certified chemiluminescence immunoassay products cover "tumor markers, thyroid functions, reproductive hormones, adrenal hormones, myocardium, anemia and bone metabolism, liver fibrosis, inflammation, diabetes, hypertension, ToRCH, and other fields of testing."
• Mindray aims to continue providing high quality products and solutions through independent R&amp;D and innovation efforts and a robust QMS."</t>
  </si>
  <si>
    <t>Explanations The expansion strategy is supported by the comprehensive breadth of the product portfolio, covering the full spectrum of high-volume (hematology, biochemistry) and high-value clinical segments (tumor markers, reproductive hormones). This capability, built through "independent R&amp;D and innovation efforts," aligns with the competitive advantages of Chinese firms in fields such as AI-driven diagnostics. External support, such as the strategic emphasis on ESG-aligned and transparent collaborations, is identified as essential for building necessary trust and market networks within Europe.</t>
  </si>
  <si>
    <t>The expansion potential of Chinese IVD suppliers, exemplified by Mindray, into the European market is strong due to the successful navigation of regulatory barriers and confirmed early adoption. Mindray has demonstrated this feasibility by obtaining 288 IVDR CE Certificates, covering a full spectrum of IVD segments, which is the necessary "pass" for entry into the EU market. This regulatory success, underpinned by a robust Quality Management System, reflects the recognition of their "quality, safety and effectiveness" by European notified bodies. The regulatory environment is further improving, as the targeted revision of the IVDR aims to streamline processes and cut costs, promising more accessible entry for Chinese medtech. Strategic opportunities exist due to Chinese proficiency in "AI-driven diagnostics" and a commitment to "independent R&amp;D and innovation efforts". Crucially, the presence of Mindray’s products "installed in several top-tier hospitals and laboratories across Europe" confirms existing customer receptivity and operational trust. However, significant strategic gaps remain, as the sources provide no evidence regarding access, reimbursement mechanisms, or hospital budget structures across Europe, making the commercial viability of this expansion unclear.</t>
  </si>
  <si>
    <t>https://docs.google.com/document/d/1KWqiQRt4NvZuv2_3GC2UQWi7agGABNUshk7Pk_lRDTM/edit?tab=t.p50hmfb02khk</t>
  </si>
  <si>
    <t>EU MDR/IVDR Revision: A Gateway for Chinese Innovators Entering UK and EU Markets via EFEC</t>
  </si>
  <si>
    <t>Medilink Midlands</t>
  </si>
  <si>
    <t>Web article</t>
  </si>
  <si>
    <t>The article describes how the European Commission’s proposed revision of MDR and IVDR — aiming to simplify certification, reduce costs and accelerate market access — could create a more accessible pathway for international medtech firms, especially from China, to enter UK and EU markets. It highlights opportunities for regulatory simplification, more predictable timelines, risk‑based assessments, and digitalised processes. The article also notes the role of EFEC (Excellence First Enterprise Consultancy) as a facilitator for Chinese life‑sciences/medtech companies to navigate both UK and EU regulatory frameworks (UKCA, CE‑marking), and mentions the planned establishment (2026) of a “UK‑China Life Sciences Innovation Hub” to support cross‑border collaboration</t>
  </si>
  <si>
    <t>https://www.medilinkmidlands.com/eu-mdr-ivdr-revision-a-gateway-for-chinese-innovators-entering-uk-and-eu-markets-via-efec/</t>
  </si>
  <si>
    <t xml:space="preserve">• "the European Commission has initiated a targeted revision of the Medical Devices Regulation (MDR) and In Vitro Diagnostic Medical Devices Regulation (IVDR)."
• "This response to widespread calls from the medtech sector aims to streamline regulatory processes, cut costs, and expedite market access."
• "The proposed revisions address key pain points in the current framework, including convoluted certification procedures, inconsistent approval timelines, and escalating costs."
• "For Chinese medtech companies eyeing expansion into Europe, these simplifications are a game-changer."
• "Post-Brexit, navigating dual UK and EU regulations has been challenging, but the revisions introduce more predictable timelines, risk-based assessment pathways, and digitalised processes."
• "This reduces bureaucratic hurdles, enabling faster and more cost-effective market entry."
• "...ensure seamless alignment with both UKCA (UK Conformity Assessed) and CE marking standards."
</t>
  </si>
  <si>
    <t>Explanations The core strategic insight is that the ongoing revision of the foundational EU and UK regulations (MDR/IVDR) acts as a powerful external force easing Chinese market access. This is crucial because the existing framework is characterized by convoluted procedures, inconsistent timelines, and high costs, which serve as barriers to entry. By introducing predictable timelines, digital processes, and risk-based assessment pathways, the regulatory changes are specifically designed to reduce compliance burden and make market entry faster and more cost-effective for international firms. Facilitating alignment with both UKCA and CE marking standards addresses the major post-Brexit navigational challenge for global innovators.</t>
  </si>
  <si>
    <t>• "It not only bolsters opportunities for UK innovators but also creates a more accessible pathway for international firms—especially those from China—seeking entry into the UK and EU markets."
• "As EFEC prepares for the official launch of the UK-China Life Sciences Innovation Hub in 2026, these revisions align perfectly with our efforts to build stronger cross-border connections."
• "The revisions foster greater predictability, allowing businesses to plan international strategies with confidence."</t>
  </si>
  <si>
    <t>Explanations The expansion potential is enhanced by the strategic timing of the regulatory changes, which coincide with the upcoming launch of institutional support systems like the UK-China Life Sciences Innovation Hub in 2026. This demonstrates a strategic intention by key facilitators (like EFEC) to bridge systems and cultures. Technologically, Chinese suppliers are positioned strongly, being "renowned" for innovation in key IVD areas such as AI-driven diagnostics. This technology focus represents a competitive advantage that can be deployed more efficiently due to regulatory predictability. Finally, the emphasis on ESG-aligned and transparent collaborations signals that successful entry requires adherence to high ethical and governance standards to build necessary trust among European partners.</t>
  </si>
  <si>
    <t>The expansion potential for Chinese IVD suppliers in Europe is currently being determined primarily by the targeted revision of the EU MDR and IVDR. These regulatory changes, driven by calls to streamline regulatory processes and cut costs, are anticipated to be a "game-changer" by offering more predictable timelines and risk-based assessment pathways for entry into the UK and the wider EU,. This regulatory clarity increases confidence for businesses planning international strategies, allowing them to better leverage Chinese strengths in AI-driven diagnostics and advanced biomaterials. The strategic opportunity is further solidified by institutional efforts, such as the planned UK-China Life Sciences Innovation Hub in 2026, which is dedicated to creating trusted cross-border connections and navigating dual UKCA and CE marking compliance,. While the regulatory landscape is rapidly improving, there are substantial gaps regarding market risks and adoption, specifically the lack of insight into European budget spend structures, access/reimbursement mechanisms, and the crucial factor of customer receptivity among clinical labs and hospitals. Therefore, although regulatory hurdles are being lowered, the ultimate success of adoption hinges on undefined factors of pricing, coverage, and end-user trust. The regulatory revision acts like a newly paved, direct road to the European market, but the analysis lacks information on the traffic flow (competition) and the destination's commercial viability (reimbursement and budget).</t>
  </si>
  <si>
    <t>https://docs.google.com/document/d/1KWqiQRt4NvZuv2_3GC2UQWi7agGABNUshk7Pk_lRDTM/edit?tab=t.5pdz8vv1e8e3</t>
  </si>
  <si>
    <t>EU green lights restriction to EU public procurement for medical devices and companies from China</t>
  </si>
  <si>
    <t>MedTech Europe</t>
  </si>
  <si>
    <t>Trade‑industry news article</t>
  </si>
  <si>
    <t>The article explains that under a new decision by the European Commission (via the International Procurement Instrument, IPI), companies and medical devices originating from China will now face restrictions in EU public tenders. Specifically: Chinese economic operators are excluded from public procurement tenders for medical devices if the contract value is €5 million or more; and for such tenders, contracting authorities must ensure that no more than 50 % of a contract’s value is subcontracted to Chinese entities or includes Chinese‑origin devices.</t>
  </si>
  <si>
    <t>https://www.medtecheurope.org/2025/06/05/eu-green-lights-restriction-to-eu-public-procurement-for-medical-devices-and-companies-from-china/</t>
  </si>
  <si>
    <t>• "EU green lights restriction to EU public procurement for medical devices and companies from China".
• "entities and medical devices originating from China will face new restrictions in access to EU public tenders".
• "The restriction will impact economic operators bidding directly from China on public tenders for medical devices (including IVDs) in the EU with an estimated value of €5 million or more".
• "EU contracting authorities must ensure that no more than 50% of a contract’s value is subcontracted to Chinese entities or includes Chinese-origin medical devices".</t>
  </si>
  <si>
    <t>Explanations: The adoption of the IPI is a massive external force that directly hinders market access to large-scale public tenders (valued at €5 million or more). Since public procurement is a critical route for large IVD installations and long-term reagent contracts in Europe, this restriction—which applies specifically to "medical devices (including IVDs)"—forces Chinese suppliers to fundamentally rethink their market entry strategy, potentially sidelining their cost advantages in high-value tenders.</t>
  </si>
  <si>
    <t>• "The restriction will impact economic operators bidding directly from China on public tenders for medical devices (including IVDs) in the EU with an estimated value of €5 million or more".</t>
  </si>
  <si>
    <t>Explanations: The IPI measure focuses specifically on large contracts valued at €5 million or more. This financial threshold targets the very core of long-term laboratory contracts and large capital expenditures (like high-throughput analyzers), which are managed through public budgets. Chinese suppliers, who previously relied on aggressive pricing to win such tenders, must now ensure their Chinese content does not exceed 50% of the total contract value, profoundly impacting how they structure future budget proposals.</t>
  </si>
  <si>
    <t>• "EU Member States approved the adoption of measures under the International Procurement Instrument (IPI), aimed at addressing imbalances in access to public procurement market for European medical devices in China".
• "The IPI measure will take effect ten days after publication and apply only to new tenders".
• "These rules will apply across all Union contracting authorities, and enforcement will rest with the contracting bodies, which must verify the origin of bidders and devices".</t>
  </si>
  <si>
    <t>Explanations: The IPI is a new regulatory layer concerning international trade and procurement, effectively acting as a market-shaping force by mandating transparency on origin and limiting reliance on Chinese components for public contracts. This regulation, which applies across "all Union contracting authorities", adds complexity to the regulatory environment, forcing Chinese suppliers to meet both technical standards (MDR/IVDR) and procurement origin requirements.</t>
  </si>
  <si>
    <t>• "The move follows an IPI investigation into China’s procurement practices".</t>
  </si>
  <si>
    <t>Explanations: The IPI measure is not an isolated event but a direct consequence of a trade "investigation into China’s procurement practices". This highlights that trade policy and geopolitical tension are now powerful external forces directly impacting the IVD market, adding a non-clinical layer of risk to procurement decisions. Furthermore, the interest of industry association MedTech Europe in issues like "regulations and market access" underscores the high strategic importance of these barriers to incumbents.</t>
  </si>
  <si>
    <t>The expansion potential of Chinese IVD suppliers in Europe faces a critical and immediate threat from the adoption of the International Procurement Instrument (IPI) by the EU. This new policy directly restricts access to major public tenders, which often exceed the €5 million threshold and are vital for large IVD contracts, by limiting Chinese content to "no more than 50% of a contract’s value". This measure severely challenges the VBP-derived cost advantage, forcing key players like Mindray to rapidly localize production and supply chains to meet the new origin requirements. Previously, Mindray demonstrated significant strengths, including an established "second largest overseas market" in Europe and the regulatory maturity to be the "first China medical device manufacturer that received MDR certificate", indicating strong customer receptivity and quality commitment. The primary opportunity now lies in Mindray successfully leveraging its existing European infrastructure (e.g., the Netherlands hub) to rapidly increase local content and service delivery. Conversely, the critical risk is that if localization is insufficient, Chinese suppliers will be restricted from competing in the highest-value segments of the public budget, a major gap requiring urgent strategic response to the IPI's implementation.</t>
  </si>
  <si>
    <r>
      <rPr>
        <rFont val="Roche Sans"/>
        <color rgb="FF1155CC"/>
        <u/>
      </rPr>
      <t>https://docs.google.com/document/d/1KWqiQRt4NvZuv2_3GC2UQWi7agGABNUshk7Pk_lRDTM/edit?tab=t.v48py1eyex8l</t>
    </r>
    <r>
      <rPr>
        <rFont val="Roche Sans"/>
        <color rgb="FF000000"/>
      </rPr>
      <t xml:space="preserve"> </t>
    </r>
  </si>
  <si>
    <t>Mindray becomes the first China medical device manufacturer that received MDR certificate</t>
  </si>
  <si>
    <t>Mindray (official media-center / news page)</t>
  </si>
  <si>
    <t>Company Press Release / Industry News</t>
  </si>
  <si>
    <t>The article announces that Mindray’s ultrasound diagnostic system “Resona 7” received the EU’s new Medical Device Regulation (MDR, Regulation (EU) 2017/745) CE-certificate, making Mindray the first Chinese medical-device manufacturer to obtain an MDR certificate. The MDR is the regulatory framework that replaced the older Medical Device Directive (MDD), with stricter requirements for safety, performance, and quality management. Mindray said this certification marked a key milestone and set a precedent for the rest of its device portfolio to transition to MDR compliance.</t>
  </si>
  <si>
    <t>https://www.mindray.com/au/media-center/news/mindray-becomes-the-first-china-medical-device-manufacturer-that-received-mdr-certificate</t>
  </si>
  <si>
    <t>• "Mindray becomes the first China medical device manufacturer that received MDR certificate".
• "The MDR (Medical Device Regulation) will replace current MDD (Medical Device Directive), with the aim to establish a modernized and more robust EU legislative framework to ensure better protection of public health and patient safety".
• The certificate is the "“VISA” to enter the EU (European Union) market".
• "The MDR brings a significant change to the regulatory framework for medical devices in Europe that emphasizes quality and safety".
• "Mindray has developed company-wide cross-function project team to manage the timely transition of all its devices as well as its quality management system toward this new regulation".
• "Obtaining the first MDR certificate for Ultrasound Diagnostic System is just the first step amid a series of important steps towards MDR certification of Mindray’s entire product portfolio".</t>
  </si>
  <si>
    <t>Explanations: Achieving this milestone—being the "first China medical device manufacturer that received MDR certificate"—is a profound external force shaping the IVD market, as it validates the regulatory seriousness and quality of a major Chinese supplier. The MDR is the required "“VISA”" for market entry, and Mindray’s commitment to transitioning its "entire product portfolio" under this stringent framework demonstrates a sustained investment necessary to compete against established MNCs in quality-conscious European markets. This proactive compliance with regulations that "emphasizes quality and safety" suggests Mindray can meet the similarly tough demands of the IVDR for their diagnostic products.</t>
  </si>
  <si>
    <t>• "Mindray has been providing world-class medical device to European Market more than 20 years".
• "Europe is our second largest overseas market".</t>
  </si>
  <si>
    <t>Explanations: Mindray’s two-decade presence in Europe confirms historical customer receptivity and established brand trust, counteracting the typical perception that new suppliers lack stability or quality assurance. The fact that "Europe is our second largest overseas market" indicates that Mindray already commands significant market acceptance and possesses the logistical depth and service infrastructure (as noted in prior discussions via the Netherlands hub) necessary to support major IVD expansion.</t>
  </si>
  <si>
    <t>• "Mindray Medical (SZ.300760)today announced that its Resona 7 (Ultrasound Diagnostic System) has received CE certificate...".
• "Mindray becomes the first China medical device manufacturer that received MDR certificate".
• "With this pivotal stage accomplished, we have set a precedent for the future".</t>
  </si>
  <si>
    <t>Explanations: Mindray’s success in securing MDR certification for a highly complex device like the "Ultrasound Diagnostic System" sets a "precedent for the future" that is critical for the IVD industry. This validates the company's internal quality management systems and technical documentation practices, essential foundations for achieving IVDR compliance for its diagnostic products. Mindray is strategically demonstrating to European regulatory bodies and customers that it has the maturity to operate within the highest tiers of the medical device ecosystem.</t>
  </si>
  <si>
    <t>Mindray’s expansion potential in Europe is significantly strengthened by its established regulatory maturity, demonstrated by becoming the "first China medical device manufacturer that received MDR certificate". This achievement sets a crucial "precedent" for its entire product portfolio, signaling an ability to navigate the stringent EU legislative framework that "emphasizes quality and safety". The company’s long history of over "20 years" in Europe, which is designated as its "second largest overseas market," confirms high customer receptivity and established brand recognition, mitigating the typical risks associated with new entrants. Mindray’s strategy relies on integrating this regulatory compliance with its platform-centric cost efficiencies perfected under China's VBP system, alongside its established European logistics hub in the Netherlands. The primary opportunity lies in leveraging its certified quality to compete effectively in major markets (e.g., France, Germany) that are increasingly demanding high standards. The key gap and risk remains the lack of explicit confirmation regarding the completion of the transition for the IVD portfolio to the new IVDR standards, which is necessary to finalize market access for diagnostic products. Mindray is transforming the external competitive environment by proving that Chinese suppliers can be global regulatory leaders, not just low-cost alternatives.</t>
  </si>
  <si>
    <r>
      <rPr>
        <rFont val="Roche Sans"/>
        <color rgb="FF1155CC"/>
        <u/>
      </rPr>
      <t>https://docs.google.com/document/d/1KWqiQRt4NvZuv2_3GC2UQWi7agGABNUshk7Pk_lRDTM/edit?tab=t.cao5bq1mdq1g</t>
    </r>
    <r>
      <rPr>
        <rFont val="Roche Sans"/>
        <color rgb="FF000000"/>
      </rPr>
      <t xml:space="preserve"> </t>
    </r>
  </si>
  <si>
    <t>Mindray Animal Medical Establishes the First Branch in Europe</t>
  </si>
  <si>
    <t>Mindray Animal Medical (via Mindray’s “Backstage / News” site)</t>
  </si>
  <si>
    <t>Company announcement / Industry-news Report</t>
  </si>
  <si>
    <t>The announcement declares that Mindray Animal Medical — a subsidiary of Mindray — has formally established its first European branch: Mindray Animal Medical Netherlands B.V., headquartered in The Hague, Netherlands. This step is part of a strategic move to treat the Netherlands as its European hub, handling business development, logistics, after-sales service, local support, and distribution for veterinary (animal-health) devices across Europe.  The branch covers Mindray Animal Medical’s full range of offerings in veterinary health care: diagnostic imaging, IVD (in-vitro diagnostics for animals), patient monitoring and life-support, and other veterinary medical devices and solutions.</t>
  </si>
  <si>
    <t>https://www.mindrayanimal.com/na/news/Mindray_Animal_Medical_Establishes_the_First_Branch_in_Europe</t>
  </si>
  <si>
    <t>Netherlands, France, the UK</t>
  </si>
  <si>
    <t>• "fully comply with local regulations, business habits, and procurement habits."
• "The procuring procedures are simplified, with convenient services and hardware management in every piece of Mindray equipment purchased."
• "Overall, through a relatively scientific and fair mechanism, the customer will consider all the opportunity costs, the veterinarians' perception of use, and many other practical factors to make the final decision."</t>
  </si>
  <si>
    <t>Explanations: Mindray explicitly recognizes that opening the European market necessitates full compliance with "procurement habits", which directly addresses the complexity of accessing public and private healthcare systems. By focusing on simplified "procuring procedures" and offering "one-stop shopping" and convenient hardware management, Mindray demonstrates a strategy aimed at reducing the overall cost of ownership and administrative burden for laboratory customers, enhancing market access. Furthermore, the understanding that customers evaluate based on a "relatively scientific and fair mechanism" considering "opportunity costs" signals that Mindray is prepared to compete on total value, not just upfront price.</t>
  </si>
  <si>
    <t xml:space="preserve">• "The procuring procedures are simplified, with convenient services and hardware management in every piece of Mindray equipment purchased."
</t>
  </si>
  <si>
    <t>Explanations: While focused on veterinary products, the emphasis on streamlined hardware management and convenient services suggests a strategic approach to reducing lifecycle costs for customers. For IVD customers, this focus on comprehensive after-sales and management reduces the hidden operational costs associated with instrumentation, making Mindray's platforms more attractive when budgets are reviewed.</t>
  </si>
  <si>
    <t xml:space="preserve">• "First, fully comply with local regulations, business habits, and procurement habits."
• "Mindray Animal Medical has keenly captured the opportunities in the global animal medical equipment market."
</t>
  </si>
  <si>
    <t>Explanations: Mindray’s leadership explicitly states that the foundation for European market entry is to "fully comply with local regulations". This is highly relevant as the complexity of the European In Vitro Diagnostic Regulation (IVDR) is a major external force shaping the market. Mindray’s established international presence, covering over 30 countries, and its dedicated effort to meet EU requirements demonstrate a commitment to regulatory adherence crucial for IVD market stability and success.</t>
  </si>
  <si>
    <t>• "The product became a hit as soon as we launched it in Europe; within about six months, we sold thousands of units".
• "This excellent market performance was never seen in our past, showing the overseas market demand and the recognition of Mindray's brand in the overseas markets."
• "European customers look for product expertise whether the product can meet real needs and whether the solution is comprehensive and consistently competitive."
• "Customers won't necessarily choose us if we do the same as the competitors. After all, choosing a new supplier requires the customer to add training costs."
• "Mindray Animal Medical’s competitiveness comes from its 'dedication to the veterinary industry.'"</t>
  </si>
  <si>
    <t>Explanations: Mindray has demonstrated immediate and significant success in European adoption, noting an "excellent market performance" and resulting "recognition of Mindray's brand". This suggests that Mindray has already overcome initial barriers to trust and quality perception. They recognize that customers require more than parity; they need specialized expertise and a solution that offsets the "training costs" associated with switching suppliers. By leveraging the "abundant technological reserves and manufacturing capabilities" of the Mindray Group, the IVD unit can offer the necessary product specialization and performance demanded by European customers.</t>
  </si>
  <si>
    <t xml:space="preserve">• "Mindray Group is China's medical equipment manufacturer and solutions provider. Its products cover three main domains: Patient Monitoring and Life Support, In-Vitro Diagnostics, and Medical Imaging Systems."
• "Today, Mindray footprint extends to 52 overseas subsidiaries in over 30 countries covering North America, Europe, Asia, Africa, Latin America, and other regions."
• "Mindray and its subsidiary, Mindray Animal Medical, elected the Netherlands as the gateway in Europe."
• "The Netherlands is the hub for Europe and the support center for logistics, R&amp;D, after-sales, and training services."
• "Mindray Animal Medical's independent subsidiary has established local technical support teams in several European countries."
• "The Goal is to Become the No.1 in Europe"
• "Mindray established an independent subsidiary with sole focus on the veterinary market."
</t>
  </si>
  <si>
    <t>Explanations: The most significant insight is the established strategic infrastructure underpinning Mindray's expansion. Mindray Group, whose core business includes "In-Vitro Diagnostics", utilizes the Netherlands as its European logistics, R&amp;D, after-sales, and training hub. This mature system of "52 overseas subsidiaries" and "local technical support teams in several European countries" provides a robust framework to support complex IVD installations and service demands, mitigating a major risk for new international suppliers. Furthermore, Mindray's stated ambition is aggressive: to "Become the No.1 in Europe", signaling long-term, sustained commitment to the region.</t>
  </si>
  <si>
    <t>The expansion potential of Chinese IVD suppliers, specifically Mindray, in Europe is significantly enhanced by the strategic infrastructure and market success already achieved by the parent group. Mindray Group, whose product domains include In-Vitro Diagnostics, operates with a vast footprint of "52 overseas subsidiaries", using the Netherlands as its central European hub for logistics, R&amp;D, and after-sales support. This established system provides a critical operational advantage for navigating the complexities of European service and distribution. Strategically, Mindray is explicitly focused on achieving the "No.1 market share in their segments", demonstrating an aggressive, long-term intent, which is backed by a recognized brand and products that became a "hit as soon as we launched it in Europe". The company understands that market access requires strict adherence to local "procurement habits" and regulations, alongside offering specialized, comprehensive solutions to offset customer "training costs" associated with switching suppliers. While the sources confirm Mindray's established European geography (e.g., France, the UK) and its commitment to regulatory compliance, a significant gap remains regarding specific data on human IVD reimbursement codes, tender pricing, and the actual compliance status under the strict IVDR framework.</t>
  </si>
  <si>
    <t>https://docs.google.com/document/d/1KWqiQRt4NvZuv2_3GC2UQWi7agGABNUshk7Pk_lRDTM/edit?tab=t.q3jgqova2l59</t>
  </si>
  <si>
    <t>China's rising dominance in Global MedTech ecosystem</t>
  </si>
  <si>
    <t>Praxis Global Alliance (PGA) — Insights / Healthcare &amp; Life Sciences sectio</t>
  </si>
  <si>
    <t>Industry-insight article</t>
  </si>
  <si>
    <t>The article discusses how China has transformed from being primarily a low-cost manufacturer to a global MedTech power-house. It highlights that China’s share of global MedTech exports rose from under 3% in 2000 to 12.4% by 2021, equivalent to nearly US$ 40 billion.  It argues that this rise is driven by strong government policies (e.g. ‘Made in China 2025’), aggressive investment in R&amp;D (with top Chinese firms reportedly investing up to 14% of their revenue into R&amp;D vs 6–8% for many OECD peers) , and rapid adoption of advanced technologies including digital health and AI, underpinned by China’s patent and innovation push (the report notes that China accounts for ~ 40% of global digital-health patents filed between 2018–2022). The piece suggests this structural shift positions China as a global competitor not only in manufacturing volume, but also in innovation and high-end medical-device supply.</t>
  </si>
  <si>
    <t>https://www.praxisga.com/insights/healthcare-and-lifesciences/china-rising-dominance</t>
  </si>
  <si>
    <t>A comprehensive analysis of the expansion potential of Chinese IVD suppliers in Europe requires specific data related to market dynamics, geographical complexities, competitive landscapes, and regulatory hurdles, particularly concerning the EU’s In Vitro Diagnostic Regulation (IVDR). Based strictly on the provided source material, no themes, geographies, companies, access dynamics, reimbursement challenges, or regulatory hurdles can be identified or evaluated. The source is limited to generic statements about digital capabilities and transformative clients, along with contact and copyright information. This constitutes a critical data gap, preventing any evidence-based assessment of risks or opportunities for Chinese suppliers like Mindray or Snibe in markets such as Germany, France, or the UK. To effectively evaluate market expansion, future inputs must include information detailing European tendering processes, hospital budget structures, laboratory adoption patterns, and the specific impact of existing or proposed IVD regulations. Without such data, any strategic recommendation would be based purely on assumption, which contradicts the objective of providing an evidence-based analysis.</t>
  </si>
  <si>
    <r>
      <rPr>
        <rFont val="Roche Sans"/>
        <color rgb="FF1155CC"/>
        <u/>
      </rPr>
      <t>https://docs.google.com/document/d/1KWqiQRt4NvZuv2_3GC2UQWi7agGABNUshk7Pk_lRDTM/edit?tab=t.uz10a7hpt74</t>
    </r>
    <r>
      <rPr>
        <rFont val="Roche Sans"/>
        <color rgb="FF000000"/>
      </rPr>
      <t xml:space="preserve"> </t>
    </r>
  </si>
  <si>
    <t>EU backs curbs on Chinese medical device firms’ bidding in public tenders</t>
  </si>
  <si>
    <t>Reuters</t>
  </si>
  <si>
    <t>News / Regulatory-Policy Announcement</t>
  </si>
  <si>
    <t>2024-2025</t>
  </si>
  <si>
    <t>The article reports that the European Commission (EC) — representing the European Union (EU) — has approved restrictions limiting access of Chinese medical-device firms to public tenders in the EU under the new International Procurement Instrument (IPI). Specifically: Chinese firms will be excluded from public contracts for medical devices above a threshold value (contracts over €5 million). Additionally, even bids from non-Chinese companies must ensure that no more than 50% of the value of supplied goods originates from China. The decision aims to respond to what the EC determined as discriminatory procurement practices in China’s public-procurement market that disadvantage EU manufacturers.</t>
  </si>
  <si>
    <t>https://www.reuters.com/world/china/eu-backs-curbs-chinese-medical-device-firms-bidding-public-tenders-2025-06-02/#:~:text=BRUSSELS%2C%20June%202%20%28Reuters%29%20,EU%20diplomats%20said%20on%20Monday</t>
  </si>
  <si>
    <t xml:space="preserve">Brussels and Paris </t>
  </si>
  <si>
    <t>• European Union governments have backed a proposal to limit Chinese medical device suppliers' participation in bids for public contracts, after finding EU companies were not given fair access to China's public tenders.
• Under the instrument, the EU executive can exclude Chinese bidders from larger EU public procurement tenders or attach a penalty score to their bids for five years to tackle discrimination.
• A Commission investigation published in January found 87% of a sample of Chinese public tenders contained direct and indirect restrictions on imported devices.
• It also said explicit bans on imported devices in Chinese tenders rose from 2022 to 2024.</t>
  </si>
  <si>
    <t>Explanations The new restrictions under the International Procurement Instrument (IPI) represent a significant, high-level barrier to market access for Chinese IVD suppliers in Europe. Since many high-volume diagnostic sales in Europe rely on public procurement contracts, the ability of the EU executive to "exclude Chinese bidders" or apply a "penalty score" for five years severely limits the total addressable market and hinders long-term expansion strategies focused on public tenders. The justification for these measures is rooted in the EU's finding that China imposes significant restrictions and explicit bans on imported devices in its own public procurement, which impacts reciprocity.</t>
  </si>
  <si>
    <t>• The Commission has previously said it found "clear evidence" that China favoured Chinese devices for hospitals and its tender conditions led to abnormally low bids that profit-oriented companies could not offer.
• China will pay close attention to EU's further actions and will take measures to firmly safeguard the legitimate interests of Chinese companies.</t>
  </si>
  <si>
    <t>Explanations The EU's action is partially a direct response to the aggressive pricing strategies employed by Chinese suppliers, specifically citing "abnormally low bids" in tenders. For IVD companies planning to grow market share through competitive pricing, the penalty scoring mechanism within the IPI is designed to neutralize this advantage, ensuring that European public budgets cannot simply prioritize the lowest-cost Chinese provider if the bid is linked to non-reciprocal market access issues. This forces Chinese IVD suppliers to rethink their pricing models for public sector growth.</t>
  </si>
  <si>
    <t>• The measures proposed by the European Commission will be the first under the EU's International Procurement Instrument, which is designed to ensure reciprocity, after the Commission launched an investigation in April 2024.
• Under EU law, any measures must be "proportionate".
• The new restrictions are likely to increase tensions inflamed by EU tariffs on China-built electric vehicles and Chinese measures against EU brandy.</t>
  </si>
  <si>
    <t>Explanations The implementation of the IPI is a novel regulatory force specifically targeting trade behavior rather than device safety or performance. This adds a significant layer of regulatory risk to market entry, as Chinese IVD firms must now contend with geopolitical reciprocity requirements in addition to standard medical device regulations. The measures are part of broader trade tensions, linking the IVD sector to macroeconomic diplomatic disputes.</t>
  </si>
  <si>
    <t>• In a statement released on Tuesday, the Chinese Commerce Ministry described the EU's plan as "protectionist", urging the EU to be fair and transparent and for both sides to resolve differences through cooperation and dialogue.
• China is firmly opposed to EU's "discriminatory" measures which hurt Chinese firms and amount to using "unilateral tools to disrupt fair competition and building up new trade barriers", it said.
• The China Chamber of Commerce to the EU expressed "profound disappointment" about the decision.</t>
  </si>
  <si>
    <t>Explanations While the source does not detail the opinions of hospital administrators or laboratory directors, the high-level rhetoric characterizing the measures as "protectionist" and "discriminatory" suggests a significant decline in political and corporate receptivity towards Chinese suppliers. This environment of heightened trade tension and distrust can negatively influence procurement managers who may choose EU-based suppliers to mitigate geopolitical supply chain risk, even if the Chinese products are cheaper or technologically comparable.</t>
  </si>
  <si>
    <t>• Restrictions primarily affected ear, nose and throat devices, such as those used to clear airways, general diagnostic devices and diagnostic imaging devices.
• The Commission said China had not proposed any corrective action to remedy the situation.
• The China Chamber of Commerce to the EU expressed "profound disappointment" about the decision, which it said failed to acknowledge the significant access European medical device firms had enjoyed in China.</t>
  </si>
  <si>
    <t>Explanations The inclusion of "general diagnostic devices" and "diagnostic imaging devices" confirms that the IVD sector is directly impacted by these trade restrictions, making this measure highly relevant to strategic planning. A key risk factor is China's refusal to offer corrective action, suggesting the EU measures are highly likely to proceed unless an agreement is reached. Finally, the clear contradiction between the EU claiming a lack of access in China and the Chinese Chamber claiming "significant access" indicates that the dispute is entrenched, increasing the volatility and duration of the market barriers.</t>
  </si>
  <si>
    <t>The expansion potential of Chinese IVD suppliers in Europe is facing an immediate and severe headwind due to the activation of the EU's International Procurement Instrument (IPI). The IPI allows the EU to exclude Chinese bidders or apply a penalty score in public tenders for up to five years, directly impacting "general diagnostic devices" and thus the core IVD market,. These regulatory barriers are designed to counter the finding that Chinese firms used "abnormally low bids" to win contracts, fundamentally disrupting their budget spend strategy based on aggressive pricing. While there are no specific geographies or companies mentioned, the trade dispute is highly visible, with China branding the measures as "protectionist" and "discriminatory," which creates significant risk to customer receptivity and adoption across the EU. A core contradiction exists between the EU’s claim that China lacks fair access for European firms and China’s counterclaim that European firms already enjoy "significant access",. Key strategic gaps remain regarding the expansion opportunity in the private European market, which is untouched by the IPI, and the lack of specific details on local regulatory implementation in major member states. Overall, the most significant opportunity for Chinese IVD firms lies in achieving either a diplomatic solution to avoid the EU measures or shifting immediately to focus on private sector sales and distribution.</t>
  </si>
  <si>
    <r>
      <rPr>
        <rFont val="Roche Sans"/>
        <color rgb="FF1155CC"/>
        <u/>
      </rPr>
      <t>https://docs.google.com/document/d/1KWqiQRt4NvZuv2_3GC2UQWi7agGABNUshk7Pk_lRDTM/edit?tab=t.q8jleqw1yyo9</t>
    </r>
    <r>
      <rPr>
        <rFont val="Roche Sans"/>
        <color rgb="FF000000"/>
      </rPr>
      <t xml:space="preserve"> </t>
    </r>
  </si>
  <si>
    <t>Periodic Reports (on Snibe investor-site)</t>
  </si>
  <si>
    <t>Company / Industry — Investor Disclosure / Periodic Financial Report Archive</t>
  </si>
  <si>
    <t>2016 - 2025</t>
  </si>
  <si>
    <t>The page provides downloadable periodic reports for Snibe, including quarterly reports, half-year reports, annual reports (full and summary), which cover financial performance, business operations, overseas expansion, product portfolio, installed base, corporate governance, etc. 
 For example:
• Snibe’s 2024 Annual Report — shows revenue, profit, domestic vs overseas business growth, instrument/reagent breakdown. 
• 2025 Q1 / Q2 / Q3 reports — provides recent update on performance, overseas expansion, installed base growth. 
The reports also reflect strategic developments: e.g. expansion of overseas subsidiaries, growth of high-end instrument installations (chemiluminescence immunoassay analyzers), product launches, global footprint updates.</t>
  </si>
  <si>
    <r>
      <rPr>
        <rFont val="Roche Sans"/>
        <color rgb="FF0000FF"/>
        <sz val="10.0"/>
        <u/>
      </rPr>
      <t xml:space="preserve">https://www.snibe.com/cn/investor/periodical_reports/
</t>
    </r>
    <r>
      <rPr>
        <rFont val="Roche Sans"/>
        <color rgb="FF0000FF"/>
        <sz val="10.0"/>
      </rPr>
      <t>Shenzhen 2024 Annual Report.PDF</t>
    </r>
  </si>
  <si>
    <t>Western Europe, Romania, Italian New Industries/Italy.</t>
  </si>
  <si>
    <t>Kalorama Information, IQVIA, Roche, Siemens, Beckman Coulter, Abbott.</t>
  </si>
  <si>
    <t>• "The implementation of inter-provincial alliance procurement of diagnostic reagents has created price pressures, and the deepening of the DRG/DIP (Diagnosis Related Groups) policy has led to a decrease i testing volume of some laboratory items."
• "The thyroid function test (chemiluminescence immunoassay) showed a 50.10% decrease in price compared to the benchmark, placing it in Group A."
• "If centralized volume-based procurement is fully implemented in the in-vitro diagnostics field, the company will actively increase the [missing text] to compensate for price reductions."</t>
  </si>
  <si>
    <t>The aggressive centralized procurement (VBP) and payment reform (DRG/DIP) policies in China act as powerful external forces, compressing domestic IVD profit margins and volumes. This requires Chinese suppliers to achieve extreme cost efficiency and operational scale to compensate for steep price reductions (e.g., 50.10% for thyroid tests). This pressure compels accelerated global expansion and the pursuit of efficiency, making Chinese suppliers potentially hyper-competitive on price points essential for accessing budget-sensitive European markets, though European reimbursement specifics remain a gap.</t>
  </si>
  <si>
    <t>• "According to a report in [Month], the global in-vitro diagnostics (IVD) market is projected to reach $109.2 billion in 2024."
• "Looking at the global IVD business development, North America and Western Europe remain the leading regions."
• "In economically developed regions, where medical services already relatively complete, the in vitro diagnostics market has reached a relatively stable stage."
• "Overseas revenue reached 1.684 billion yuan, a year-on-year increase of 27.67%, with the reagent business showing the largest increase driven by the continued rise in instrument installations."</t>
  </si>
  <si>
    <t>Western Europe is identified as a leading, albeit stable, region in the context of the nearly $110 billion global IVD market. This stability implies predictable, but highly competitive, budget structures. The Chinese supplier is strongly motivated by high international growth, exemplified by a 27.67% increase in overseas revenue, driven by increased instrument installations globally. This suggests a robust strategy is successfully capturing market share in key overseas regions, potentially including Europe, to offset domestic stabilization.</t>
  </si>
  <si>
    <t>• "CE certification, the EU product safety certification mark, is a mandatory mark for products entering the EU market."
• "The company obtained the first IVDR in China's chemiluminescence field. CE certification"
.
• "With 198 chemiluminescence reagents approved by the European Union, it is one of the chemiluminescence manufacturers in the industry that can provide the most complete reagent menu."
• "The company's infectious disease testing products for hepatitis B virus (HBV), hepatitis C virus (HCV), and human immunodeficiency virus (HIV) have all passed testing. With CE List A certification, it is the first chemiluminescence manufacturer in China to obtain CE List A certification for infectious diseases HBV, HCV, and HIV."
• "The IVDR CE Class D certification is the highest risk level certification... The technical requirements are stringent, and the verification, evaluation, and auditing required are quite intensive, making certification difficult."
• "The Molecision R8 automated nucleic acid testing and analysis system has obtained EU market access approval"
.</t>
  </si>
  <si>
    <t>Regulatory readiness is a clear strength, serving as a critical prerequisite for European expansion. The company explicitly mentions achieving the stringent IVDR CE Class D certification and being the first Chinese manufacturer to obtain CE List A for high-risk infectious diseases (HBV, HCV, HIV). The difficulty and intensity of these regulatory hurdles validate the quality and compliance necessary for operating in Europe, mitigating the perception that Chinese products are solely low-end offerings. Furthermore, having 198 CE-approved reagents provides a comprehensive menu immediately available for the EU market.</t>
  </si>
  <si>
    <t>• "By the end of the reporting period, company's products had been sold to 160 countries and regions overseas."
• "Driven by a dual strategy of 'regional operation + localized development,' the Snibe brand... Its international influence continues to rise"
• "The company is gradually segmenting these markets and implementing regional... The company has adopted a standardized management model and deepened its localized operations overseas"
• "To date, it has completed the establishment of 14 overseas branches (excluding Hong Kong New Industries and Hong Kong New Industries Holdings)."
• "In recent years, China's in vitro diagnostics industry has developed rapidly... The technological gap between domestic and foreign companies is narrowing"</t>
  </si>
  <si>
    <t>Customer receptivity is being cultivated through a sustained globalization strategy based on local presence and brand building. The establishment of 14 overseas branches (including subsidiaries in Italy and Romania) highlights a commitment to service and localized support, which is critical for adoption in sophisticated healthcare systems like Europe. The overall narrowing of the technological gap also enhances receptivity by allowing the company to compete on performance, not just price.</t>
  </si>
  <si>
    <t>• "International multinational corporations such as Roche, Siemens, Beckman Coulter, and Abbott hold a relatively monopolistic position in my country's high-end in-vitro diagnostics market, especially domestically."
• "The technological advantages of its four major technology platforms and existing products, the company has become a leader in China's in-vitro diagnostics field and is poised to become a pioneer in the global in-vitro diagnostics industry."
• "The domestic chemiluminescence immunoassay diagnostics market, especially the high-end market such as tertiary hospitals, is still mainly dominated by imported brands..."
• "The pricing currencies for the company's foreign currency assets, liabilities, and transactions are primarily in US dollars and euros, and exchange rate risk remains."
• "The two development directions [of the IVD product market in China]: integrated solutions automated immunochemical testing and point-of-care testing (POCT)."</t>
  </si>
  <si>
    <t>The primary external challenge in high-end markets (like Europe) is fierce competition from established multinational giants (Roche, Siemens, etc.) that currently hold a monopolistic position in key high-throughput segments. Snibe's strategy to counter this relies on becoming a pioneer in the global IVD industry by focusing on integrated solutions and high-throughput automated testing (MAGLUMI X-series). Furthermore, financial risk management must account for exchange rate fluctuations involving the US dollar and euro, given the importance of European revenue.</t>
  </si>
  <si>
    <t>The expansion potential of Chinese IVD suppliers, specifically Snibe, in Europe is driven primarily by external forces relating to domestic Chinese health policy, coupled with robust regulatory attainment. The aggressive rollout of centralized volume-based procurement (VBP) and DRG/DIP payment reform in China acts as a major external force, creating intense price pressures and reducing profit margins domestically. This domestic pressure compels the company to aggressively pursue global revenue streams to compensate for price reductions, driving a high overseas growth rate of 27.67%. Strategically, Snibe has established a foundation for European market access by achieving the rigorous IVDR CE Class D certification and being the first Chinese chemiluminescence manufacturer to obtain CE List A for high-risk infectious diseases. This regulatory achievement validates product quality and helps counter the existing competitive barrier posed by entrenched multinational giants such as Roche, Siemens, and Abbott, who currently dominate high-end segments like tertiary hospitals globally. Adoption is facilitated by a "localized development" strategy supported by physical subsidiaries in Europe, including Italy and Romania. However, a key information gap remains regarding the specific strategies needed to navigate the varied access and reimbursement structures within individual European countries. The opportunity lies in leveraging efficient, high-quality, high-throughput systems to break the incumbent monopoly, while managing inherent risks like euro/dollar exchange rate fluctuations.</t>
  </si>
  <si>
    <t>https://docs.google.com/document/d/1KWqiQRt4NvZuv2_3GC2UQWi7agGABNUshk7Pk_lRDTM/edit?tab=t.d47wbljistqk</t>
  </si>
  <si>
    <t>China – Medical devices – – European Commission</t>
  </si>
  <si>
    <t>Access2Markets – Medical Devices (Buy China policy)</t>
  </si>
  <si>
    <t>Policy / Trade Barrier Record (EU Commission)</t>
  </si>
  <si>
    <t>January 2017 – May 2024</t>
  </si>
  <si>
    <t>Trade barrier related to “Medical Devices (Buy China policy)” — a measure recorded by the EU Commission under the Access2Markets trade barriers database detailing restrictions and reciprocal implications arising from China’s procurement practices that disadvantage EU medical device firms and the EU’s response under the International Procurement Instrument (IPI). The barrier reflects exclusionary procurement policies affecting access for EU exporters in China and the EU’s measures restricting Chinese suppliers in EU public procurement for medical devices.</t>
  </si>
  <si>
    <t>https://trade.ec.europa.eu/access-to-markets/en/barriers/details?barrier_id=14587</t>
  </si>
  <si>
    <t xml:space="preserve"> Bulgaria, Spain, Czech Republic, Denmark, Germany, Estonia, Greece, Ireland, Croatia, Italy, Latvia, Lithuania, Hungary, Malta, Netherlands, Poland, Portugal, Romania, Slovakia, Slovenia, Finland, and Sweden via the language selection menu. The United Kingdom is explicitly mentioned in the context of trade statistics. France, Italy, Germany, and Spain are also represented by their respective languages.</t>
  </si>
  <si>
    <t xml:space="preserve">   ◦ "Trade barriers reported to DG TRADE, which affect EU exports to non-EU countries."
    ◦ "The barriers are classified by the type of measures, and by the sectors affected by the measures."</t>
  </si>
  <si>
    <t>Regulatory compliance involves understanding trade barriers and tax structures like VAT and excise duties, which directly impact the landed cost and legal feasibility of importing Chinese IVD equipment into Europe.
• Assumptions/Gaps: The regulatory information in the sources is primarily focused on EU exports to non-EU countries, rather than the requirements for Chinese imports into the EU. There is no mention of IVDR (In Vitro Diagnostic Regulation) or CE marking.</t>
  </si>
  <si>
    <t>The sources consist of navigation elements and FAQ summaries from the European Commission’s Access2Markets portal, which serves as a structural framework for understanding trade but lacks specific IVD market intelligence. Geographically, the documents cover the entire European Union and the United Kingdom, providing a broad scope for potential expansion. However, no specific IVD companies, including Mindray or Snibe, are mentioned, indicating a lack of competitive profiling in these particular excerpts. While the sources highlight government procurement and trade barriers as critical forces, they focus heavily on EU exports rather than the regulatory hurdles faced by Chinese suppliers entering Europe. Financial insights are limited to general mentions of VAT and excise duties, leaving a gap in diagnostic-specific reimbursement and budget data. There is no evidence regarding customer receptivity or adoption trends for laboratory equipment. The primary risk identified is the potential for trade barriers classified by sector, though the specific barriers for the IVD sector are not detailed. Consequently, while the sources point to tools for navigating public tenders, they provide no evidence-based insights into the actual expansion potential or market dynamics for Chinese IVD firms.</t>
  </si>
  <si>
    <t>https://docs.google.com/document/d/1KWqiQRt4NvZuv2_3GC2UQWi7agGABNUshk7Pk_lRDTM/edit?tab=t.e3f0z5lzunmc</t>
  </si>
  <si>
    <t>Overview of China IVD Industry and its Future Development</t>
  </si>
  <si>
    <t>China Association of Clinical Laboratory Practice Expo(CACLP)</t>
  </si>
  <si>
    <t>Industry market report / market overview document</t>
  </si>
  <si>
    <t>The report provides a comprehensive overview of China’s in-vitro diagnostics (IVD) market: market size, market structure, end-user segments (hospitals, labs, blood banks, phys-exam centers, etc.), post-COVID recovery dynamics, reuse of PCR labs for broader diagnostics (e.g. tumor, genetics, microbial), influence of national health policies (e.g. Healthy China 2030), and outlook for growth in diagnostic demand across areas like precision diagnosis, chronic diseases, and bioeconomy expansion.</t>
  </si>
  <si>
    <t>https://en.caclp.com/public/uploads/files/20230315/China%20IVD%20Market%20Overview_2023v2.pdf</t>
  </si>
  <si>
    <t>• Other IVD companies explicitly named in the document: Dian Diagnostics, Runda Medical, KingMed Diagnostics, New Horizon Health, Burning Rock Dx, Mega Genomics, Yestar Healthcare, Bohui Innovation Biotechnology, Improve Medical, Autobio, BSBE, Lifotronic, Dirui, Medical Systerm, Novogene, Innovita, Succeeder, AVE Science &amp; Technology, Leadman, Fosun Pharma, Wantai BioPharm, Devyser, Agilent, Scout Health, Castle Biosciences, Merck.</t>
  </si>
  <si>
    <t>• " Europe, Middle East &amp; Africa... USD 50 billion... 40% of globe... YOY growth of 85%"
• " The average annual per capital IVD consumption... Western Europe... 30 (Dollar)"
• " Mind the Gap... In long-term, there is still a big gap between China and the developed countries, which provides a huge potential market"</t>
  </si>
  <si>
    <t>The evidence validates the "Pull" factor for Chinese expansion. With EMEA representing 40% of the global market and Western Europe spending $30 per capita versus China's $4.6 (2018 figure), Chinese suppliers view Europe as a mature, high-margin necessity for growth.</t>
  </si>
  <si>
    <t>• " The Plan encourages domestic biological scientific research institutions to initiate and participate in international major scientific projects and the setting of international rules and standards."</t>
  </si>
  <si>
    <t>This suggests a state-level ambition to not merely comply with European regulations (like IVDR) but to actively influence "international rules and standards". It indicates a long-term strategic play to lower regulatory barriers for Chinese entrants.</t>
  </si>
  <si>
    <t>• " Bio-enterprises are encouraged to establish overseas R&amp;D centres, production bases, sales networks and service bodies."
• " Accelerate the integration into the international market and the construction of international bio-industrial parks."
• " More IVD related companies, whose IVD sales counts for over 50%, go for IPO since year 2020. Till now, there are total 62 companies listed in the stock market in mainland China."
• " Integration, High throughput, Immediacy, Portability and Precision medicine are the key development trend of products and technologies in China IVD Market."</t>
  </si>
  <si>
    <t xml:space="preserve">  1. Supply Chain Localization: The directive to build "overseas... production bases" indicates Chinese suppliers will likely move to manufacture inside Europe to bypass import tariffs or logistics hurdles.
    2. War Chests: The listing of "62 companies" implies a highly fragmented but well-capitalized competitor base ready for M&amp;A or aggressive pricing strategies in Europe.
    3. Product Sophistication: The focus on "Precision medicine" and "High throughput" signals that Chinese exports will compete on technical specs, moving beyond the low-cost consumable segment.</t>
  </si>
  <si>
    <t>The provided source material depicts a highly motivated, government-backed "Push" strategy from the Chinese IVD sector targeting global markets, yet it lacks specific data on European "Pull" factors such as reimbursement or local access barriers. Key themes include a state mandate for "Bio-enterprises" to establish "overseas R&amp;D centres" and "production bases", signaling a shift from export-only models to localized operations in regions like Western Europe, which is identified as a high-value target with $30 per capita spend. Mindray and Snibe are highlighted alongside a surge of over 60 recently capitalized public companies, suggesting a well-funded wave of competition. While the source confirms EMEA is a $50 billion market, it offers no insights into specific country dynamics (e.g., France, Germany) regarding regulation or customer adoption. Consequently, the expansion potential is high due to supply-side capital and policy support, but the strategy faces an intelligence gap regarding the practicalities of penetrating the complex European payer landscape.</t>
  </si>
  <si>
    <t>https://docs.google.com/document/d/1KWqiQRt4NvZuv2_3GC2UQWi7agGABNUshk7Pk_lRDTM/edit?tab=t.csyibp4v4pgy</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</si>
</sst>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color theme="1"/>
      <name val="Roche Sans"/>
    </font>
    <font>
      <b/>
      <sz val="30.0"/>
      <color theme="1"/>
      <name val="Roche Sans"/>
    </font>
    <font>
      <b/>
      <sz val="16.0"/>
      <color theme="1"/>
      <name val="Roche Sans"/>
    </font>
    <font>
      <sz val="13.0"/>
      <color theme="1"/>
      <name val="Roche Sans"/>
    </font>
    <font/>
    <font>
      <color rgb="FF222222"/>
      <name val="Roche Sans"/>
    </font>
    <font>
      <sz val="13.0"/>
      <color rgb="FF222222"/>
      <name val="Roche Sans"/>
    </font>
    <font>
      <b/>
      <sz val="16.0"/>
      <color rgb="FF222222"/>
      <name val="Roche Sans"/>
    </font>
    <font>
      <b/>
      <sz val="13.0"/>
      <color theme="1"/>
      <name val="Roche Sans"/>
    </font>
    <font>
      <b/>
      <sz val="10.0"/>
      <color rgb="FF000000"/>
      <name val="Roche Sans"/>
    </font>
    <font>
      <b/>
      <color rgb="FF000000"/>
      <name val="Roche Sans"/>
    </font>
    <font>
      <sz val="10.0"/>
      <color rgb="FF000000"/>
      <name val="Roche Sans"/>
    </font>
    <font>
      <u/>
      <sz val="10.0"/>
      <color rgb="FF0000FF"/>
      <name val="Roche Sans"/>
    </font>
    <font>
      <u/>
      <color rgb="FF0000FF"/>
      <name val="Roche Sans"/>
    </font>
    <font>
      <u/>
      <color rgb="FF000000"/>
      <name val="Roche Sans"/>
    </font>
    <font>
      <u/>
      <sz val="10.0"/>
      <color rgb="FF0000FF"/>
      <name val="Roche Sans"/>
    </font>
    <font>
      <color theme="1"/>
      <name val="Arial"/>
      <scheme val="minor"/>
    </font>
    <font>
      <color rgb="FF0000FF"/>
      <name val="Arial"/>
      <scheme val="minor"/>
    </font>
  </fonts>
  <fills count="4">
    <fill>
      <patternFill patternType="none"/>
    </fill>
    <fill>
      <patternFill patternType="lightGray"/>
    </fill>
    <fill>
      <patternFill patternType="solid">
        <fgColor rgb="FFFFFFFF"/>
        <bgColor rgb="FFFFFFFF"/>
      </patternFill>
    </fill>
    <fill>
      <patternFill patternType="solid">
        <fgColor rgb="FFEFEFEF"/>
        <bgColor rgb="FFEFEFEF"/>
      </patternFill>
    </fill>
  </fills>
  <borders count="4">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readingOrder="0" shrinkToFit="0" vertical="bottom" wrapText="1"/>
    </xf>
    <xf borderId="0" fillId="0" fontId="2" numFmtId="0" xfId="0" applyAlignment="1" applyFont="1">
      <alignment readingOrder="0" shrinkToFit="0" vertical="bottom" wrapText="1"/>
    </xf>
    <xf borderId="0" fillId="0" fontId="1" numFmtId="0" xfId="0" applyAlignment="1" applyFont="1">
      <alignment shrinkToFit="0" vertical="bottom" wrapText="1"/>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2" fontId="1" numFmtId="0" xfId="0" applyAlignment="1" applyFill="1" applyFont="1">
      <alignment shrinkToFit="0" vertical="bottom" wrapText="1"/>
    </xf>
    <xf borderId="1" fillId="0" fontId="4" numFmtId="0" xfId="0" applyAlignment="1" applyBorder="1" applyFont="1">
      <alignment readingOrder="0" shrinkToFit="0" vertical="center" wrapText="1"/>
    </xf>
    <xf borderId="2" fillId="0" fontId="5" numFmtId="0" xfId="0" applyBorder="1" applyFont="1"/>
    <xf borderId="0" fillId="2" fontId="6" numFmtId="0" xfId="0" applyAlignment="1" applyFont="1">
      <alignment readingOrder="0" shrinkToFit="0" vertical="bottom" wrapText="1"/>
    </xf>
    <xf borderId="0" fillId="2" fontId="7" numFmtId="0" xfId="0" applyAlignment="1" applyFont="1">
      <alignment readingOrder="0"/>
    </xf>
    <xf borderId="0" fillId="2" fontId="8" numFmtId="0" xfId="0" applyAlignment="1" applyFont="1">
      <alignment readingOrder="0" shrinkToFit="0" vertical="bottom" wrapText="1"/>
    </xf>
    <xf borderId="1" fillId="0" fontId="4" numFmtId="0" xfId="0" applyAlignment="1" applyBorder="1" applyFont="1">
      <alignment readingOrder="0" shrinkToFit="0" vertical="bottom" wrapText="1"/>
    </xf>
    <xf borderId="3" fillId="0" fontId="9" numFmtId="0" xfId="0" applyAlignment="1" applyBorder="1" applyFont="1">
      <alignment horizontal="center" readingOrder="0" shrinkToFit="0" wrapText="1"/>
    </xf>
    <xf borderId="3" fillId="0" fontId="4" numFmtId="0" xfId="0" applyAlignment="1" applyBorder="1" applyFont="1">
      <alignment readingOrder="0" shrinkToFit="0" wrapText="1"/>
    </xf>
    <xf borderId="3" fillId="0" fontId="4" numFmtId="0" xfId="0" applyAlignment="1" applyBorder="1" applyFont="1">
      <alignment readingOrder="0"/>
    </xf>
    <xf borderId="3" fillId="0" fontId="4" numFmtId="0" xfId="0" applyAlignment="1" applyBorder="1" applyFont="1">
      <alignment readingOrder="0" shrinkToFit="0" vertical="bottom" wrapText="1"/>
    </xf>
    <xf borderId="0" fillId="0" fontId="4" numFmtId="0" xfId="0" applyAlignment="1" applyFont="1">
      <alignment readingOrder="0" shrinkToFit="0" vertical="bottom" wrapText="1"/>
    </xf>
    <xf borderId="0" fillId="3" fontId="10" numFmtId="0" xfId="0" applyAlignment="1" applyFill="1" applyFont="1">
      <alignment horizontal="center" readingOrder="0" shrinkToFit="0" vertical="center" wrapText="1"/>
    </xf>
    <xf borderId="0" fillId="3" fontId="10" numFmtId="0" xfId="0" applyAlignment="1" applyFont="1">
      <alignment horizontal="center" shrinkToFit="0" vertical="center" wrapText="1"/>
    </xf>
    <xf borderId="0" fillId="3" fontId="10" numFmtId="0" xfId="0" applyAlignment="1" applyFont="1">
      <alignment horizontal="center" readingOrder="0" shrinkToFit="0" vertical="center" wrapText="1"/>
    </xf>
    <xf borderId="0" fillId="3" fontId="11" numFmtId="0" xfId="0" applyAlignment="1" applyFont="1">
      <alignment horizontal="center" readingOrder="0" shrinkToFit="0" vertical="center" wrapText="1"/>
    </xf>
    <xf borderId="0" fillId="2" fontId="12" numFmtId="0" xfId="0" applyAlignment="1" applyFont="1">
      <alignment horizontal="center" shrinkToFit="0" vertical="center" wrapText="1"/>
    </xf>
    <xf borderId="0" fillId="2" fontId="12" numFmtId="0" xfId="0" applyAlignment="1" applyFont="1">
      <alignment horizontal="left" shrinkToFit="0" vertical="center" wrapText="1"/>
    </xf>
    <xf borderId="0" fillId="2" fontId="13" numFmtId="0" xfId="0" applyAlignment="1" applyFont="1">
      <alignment horizontal="center" shrinkToFit="0" vertical="center" wrapText="1"/>
    </xf>
    <xf borderId="0" fillId="2" fontId="12" numFmtId="0" xfId="0" applyAlignment="1" applyFont="1">
      <alignment horizontal="center" readingOrder="0" shrinkToFit="0" vertical="center" wrapText="1"/>
    </xf>
    <xf borderId="0" fillId="2" fontId="14" numFmtId="0" xfId="0" applyAlignment="1" applyFont="1">
      <alignment horizontal="center" readingOrder="0" shrinkToFit="0" vertical="center" wrapText="1"/>
    </xf>
    <xf borderId="0" fillId="2" fontId="15"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0" fillId="2" fontId="16" numFmtId="0" xfId="0" applyAlignment="1" applyFont="1">
      <alignment horizontal="center" readingOrder="0" shrinkToFit="0" vertical="center" wrapText="1"/>
    </xf>
    <xf borderId="0" fillId="0" fontId="17" numFmtId="0" xfId="0" applyAlignment="1" applyFont="1">
      <alignment shrinkToFit="0" vertical="center" wrapText="0"/>
    </xf>
    <xf borderId="0" fillId="0" fontId="17" numFmtId="0" xfId="0" applyAlignment="1" applyFont="1">
      <alignment horizontal="left" shrinkToFit="0" vertical="center" wrapText="0"/>
    </xf>
    <xf borderId="0" fillId="0" fontId="18" numFmtId="0" xfId="0" applyAlignment="1" applyFon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ocs.google.com/document/d/1KWqiQRt4NvZuv2_3GC2UQWi7agGABNUshk7Pk_lRDTM/edit?tab=t.1lc96oiixspk" TargetMode="External"/><Relationship Id="rId84" Type="http://schemas.openxmlformats.org/officeDocument/2006/relationships/hyperlink" Target="https://docs.google.com/document/d/1KWqiQRt4NvZuv2_3GC2UQWi7agGABNUshk7Pk_lRDTM/edit?tab=t.csyibp4v4pgy" TargetMode="External"/><Relationship Id="rId83" Type="http://schemas.openxmlformats.org/officeDocument/2006/relationships/hyperlink" Target="https://en.caclp.com/public/uploads/files/20230315/China%20IVD%20Market%20Overview_2023v2.pdf" TargetMode="External"/><Relationship Id="rId42" Type="http://schemas.openxmlformats.org/officeDocument/2006/relationships/hyperlink" Target="https://docs.google.com/document/d/1KWqiQRt4NvZuv2_3GC2UQWi7agGABNUshk7Pk_lRDTM/edit?tab=t.lu0t8ei2kdif" TargetMode="External"/><Relationship Id="rId41" Type="http://schemas.openxmlformats.org/officeDocument/2006/relationships/hyperlink" Target="https://mtrconsult.com/news/new-versions-nabm-nomenclature-released-france" TargetMode="External"/><Relationship Id="rId85" Type="http://schemas.openxmlformats.org/officeDocument/2006/relationships/drawing" Target="../drawings/drawing2.xml"/><Relationship Id="rId44" Type="http://schemas.openxmlformats.org/officeDocument/2006/relationships/hyperlink" Target="https://docs.google.com/document/d/1KWqiQRt4NvZuv2_3GC2UQWi7agGABNUshk7Pk_lRDTM/edit?tab=t.oujb1xnwvhd3" TargetMode="External"/><Relationship Id="rId43" Type="http://schemas.openxmlformats.org/officeDocument/2006/relationships/hyperlink" Target="https://mtrconsult.com/news/nice-implemented-new-healthtech-program-england" TargetMode="External"/><Relationship Id="rId46" Type="http://schemas.openxmlformats.org/officeDocument/2006/relationships/hyperlink" Target="https://docs.google.com/document/d/1KWqiQRt4NvZuv2_3GC2UQWi7agGABNUshk7Pk_lRDTM/edit?tab=t.oujb1xnwvhd3" TargetMode="External"/><Relationship Id="rId45" Type="http://schemas.openxmlformats.org/officeDocument/2006/relationships/hyperlink" Target="https://www.nice.org.uk/process/pmg48/resources/nice-healthtech-programme-manual-pdf-72286843070149" TargetMode="External"/><Relationship Id="rId80" Type="http://schemas.openxmlformats.org/officeDocument/2006/relationships/hyperlink" Target="https://docs.google.com/document/d/1KWqiQRt4NvZuv2_3GC2UQWi7agGABNUshk7Pk_lRDTM/edit?tab=t.d47wbljistqk" TargetMode="External"/><Relationship Id="rId82" Type="http://schemas.openxmlformats.org/officeDocument/2006/relationships/hyperlink" Target="https://docs.google.com/document/d/1KWqiQRt4NvZuv2_3GC2UQWi7agGABNUshk7Pk_lRDTM/edit?tab=t.e3f0z5lzunmc" TargetMode="External"/><Relationship Id="rId81" Type="http://schemas.openxmlformats.org/officeDocument/2006/relationships/hyperlink" Target="https://trade.ec.europa.eu/access-to-markets/en/barriers/details?barrier_id=14587" TargetMode="External"/><Relationship Id="rId1" Type="http://schemas.openxmlformats.org/officeDocument/2006/relationships/hyperlink" Target="https://drive.google.com/file/d/1zt3vNjOlugypsvPkywduyWNRPGTHrsoj/view?usp=drive_link" TargetMode="External"/><Relationship Id="rId2" Type="http://schemas.openxmlformats.org/officeDocument/2006/relationships/hyperlink" Target="https://docs.google.com/document/d/1KWqiQRt4NvZuv2_3GC2UQWi7agGABNUshk7Pk_lRDTM/edit?tab=t.0" TargetMode="External"/><Relationship Id="rId3" Type="http://schemas.openxmlformats.org/officeDocument/2006/relationships/hyperlink" Target="https://drive.google.com/file/d/1aALYeTGlpUiU8CxF94v1HndTzuFj90Jy/view?usp=sharing" TargetMode="External"/><Relationship Id="rId4" Type="http://schemas.openxmlformats.org/officeDocument/2006/relationships/hyperlink" Target="https://docs.google.com/document/d/1KWqiQRt4NvZuv2_3GC2UQWi7agGABNUshk7Pk_lRDTM/edit?tab=t.utaeocrbr2jc" TargetMode="External"/><Relationship Id="rId9" Type="http://schemas.openxmlformats.org/officeDocument/2006/relationships/hyperlink" Target="https://en.caclp.com/industry-news/2785.html" TargetMode="External"/><Relationship Id="rId48" Type="http://schemas.openxmlformats.org/officeDocument/2006/relationships/hyperlink" Target="https://docs.google.com/document/d/1KWqiQRt4NvZuv2_3GC2UQWi7agGABNUshk7Pk_lRDTM/edit?tab=t.gd6lsahee193" TargetMode="External"/><Relationship Id="rId47" Type="http://schemas.openxmlformats.org/officeDocument/2006/relationships/hyperlink" Target="https://namsa.com/wp-content/uploads/2025/07/White-Paper-Navigating-Dual-Regulations_Branding-Update-June-2025-1.pdf" TargetMode="External"/><Relationship Id="rId49" Type="http://schemas.openxmlformats.org/officeDocument/2006/relationships/hyperlink" Target="https://www.abanalitica.com/en/press-release/ab-analitica-x-snibe-partnership-july-22-2024-2/" TargetMode="External"/><Relationship Id="rId5" Type="http://schemas.openxmlformats.org/officeDocument/2006/relationships/hyperlink" Target="https://en.caclp.com/industry-news/1161.html" TargetMode="External"/><Relationship Id="rId6" Type="http://schemas.openxmlformats.org/officeDocument/2006/relationships/hyperlink" Target="https://docs.google.com/document/d/1KWqiQRt4NvZuv2_3GC2UQWi7agGABNUshk7Pk_lRDTM/edit?tab=t.gbihe4fwtsat" TargetMode="External"/><Relationship Id="rId7" Type="http://schemas.openxmlformats.org/officeDocument/2006/relationships/hyperlink" Target="https://en.caclp.com/industry-news/2365.html" TargetMode="External"/><Relationship Id="rId8" Type="http://schemas.openxmlformats.org/officeDocument/2006/relationships/hyperlink" Target="https://docs.google.com/document/d/1KWqiQRt4NvZuv2_3GC2UQWi7agGABNUshk7Pk_lRDTM/edit?tab=t.6fsfwwupko0x" TargetMode="External"/><Relationship Id="rId73" Type="http://schemas.openxmlformats.org/officeDocument/2006/relationships/hyperlink" Target="https://www.mindrayanimal.com/na/news/Mindray_Animal_Medical_Establishes_the_First_Branch_in_Europe" TargetMode="External"/><Relationship Id="rId72" Type="http://schemas.openxmlformats.org/officeDocument/2006/relationships/hyperlink" Target="https://docs.google.com/document/d/1KWqiQRt4NvZuv2_3GC2UQWi7agGABNUshk7Pk_lRDTM/edit?tab=t.cao5bq1mdq1g" TargetMode="External"/><Relationship Id="rId31" Type="http://schemas.openxmlformats.org/officeDocument/2006/relationships/hyperlink" Target="https://inf.news/en/economy/05703949a08a4f75f598ad8a52850b03.html" TargetMode="External"/><Relationship Id="rId75" Type="http://schemas.openxmlformats.org/officeDocument/2006/relationships/hyperlink" Target="https://www.praxisga.com/insights/healthcare-and-lifesciences/china-rising-dominance" TargetMode="External"/><Relationship Id="rId30" Type="http://schemas.openxmlformats.org/officeDocument/2006/relationships/hyperlink" Target="https://docs.google.com/document/d/1KWqiQRt4NvZuv2_3GC2UQWi7agGABNUshk7Pk_lRDTM/edit?tab=t.s5cw2l4j9f0t" TargetMode="External"/><Relationship Id="rId74" Type="http://schemas.openxmlformats.org/officeDocument/2006/relationships/hyperlink" Target="https://docs.google.com/document/d/1KWqiQRt4NvZuv2_3GC2UQWi7agGABNUshk7Pk_lRDTM/edit?tab=t.q3jgqova2l59" TargetMode="External"/><Relationship Id="rId33" Type="http://schemas.openxmlformats.org/officeDocument/2006/relationships/hyperlink" Target="https://www.ainvest.com/news/frontier-medtech-navigating-china-eu-trade-tensions-investment-gains-2507/" TargetMode="External"/><Relationship Id="rId77" Type="http://schemas.openxmlformats.org/officeDocument/2006/relationships/hyperlink" Target="https://www.reuters.com/world/china/eu-backs-curbs-chinese-medical-device-firms-bidding-public-tenders-2025-06-02/" TargetMode="External"/><Relationship Id="rId32" Type="http://schemas.openxmlformats.org/officeDocument/2006/relationships/hyperlink" Target="https://docs.google.com/document/d/1KWqiQRt4NvZuv2_3GC2UQWi7agGABNUshk7Pk_lRDTM/edit?tab=t.1j00obek4cv7" TargetMode="External"/><Relationship Id="rId76" Type="http://schemas.openxmlformats.org/officeDocument/2006/relationships/hyperlink" Target="https://docs.google.com/document/d/1KWqiQRt4NvZuv2_3GC2UQWi7agGABNUshk7Pk_lRDTM/edit?tab=t.uz10a7hpt74" TargetMode="External"/><Relationship Id="rId35" Type="http://schemas.openxmlformats.org/officeDocument/2006/relationships/hyperlink" Target="https://journals.publisso.de/en/journals/gms/volume23/000337" TargetMode="External"/><Relationship Id="rId79" Type="http://schemas.openxmlformats.org/officeDocument/2006/relationships/hyperlink" Target="https://drive.google.com/file/d/1d3ZcrQmJW8mU7vn7vR1v78Sz2Vuaxxnx/view?usp=drive_link" TargetMode="External"/><Relationship Id="rId34" Type="http://schemas.openxmlformats.org/officeDocument/2006/relationships/hyperlink" Target="https://docs.google.com/document/d/1KWqiQRt4NvZuv2_3GC2UQWi7agGABNUshk7Pk_lRDTM/edit?tab=t.mekyzrc0fltx" TargetMode="External"/><Relationship Id="rId78" Type="http://schemas.openxmlformats.org/officeDocument/2006/relationships/hyperlink" Target="https://docs.google.com/document/d/1KWqiQRt4NvZuv2_3GC2UQWi7agGABNUshk7Pk_lRDTM/edit?tab=t.q8jleqw1yyo9" TargetMode="External"/><Relationship Id="rId71" Type="http://schemas.openxmlformats.org/officeDocument/2006/relationships/hyperlink" Target="https://www.mindray.com/au/media-center/news/mindray-becomes-the-first-china-medical-device-manufacturer-that-received-mdr-certificate" TargetMode="External"/><Relationship Id="rId70" Type="http://schemas.openxmlformats.org/officeDocument/2006/relationships/hyperlink" Target="https://docs.google.com/document/d/1KWqiQRt4NvZuv2_3GC2UQWi7agGABNUshk7Pk_lRDTM/edit?tab=t.v48py1eyex8l" TargetMode="External"/><Relationship Id="rId37" Type="http://schemas.openxmlformats.org/officeDocument/2006/relationships/hyperlink" Target="https://mtrconsult.com/general-market-access-landscape-vitro-diagnostic-tests-europe" TargetMode="External"/><Relationship Id="rId36" Type="http://schemas.openxmlformats.org/officeDocument/2006/relationships/hyperlink" Target="https://docs.google.com/document/d/1KWqiQRt4NvZuv2_3GC2UQWi7agGABNUshk7Pk_lRDTM/edit?tab=t.fxko5jhzd3mf" TargetMode="External"/><Relationship Id="rId39" Type="http://schemas.openxmlformats.org/officeDocument/2006/relationships/hyperlink" Target="https://mtrconsult.com/market-access-medical-technologies-spain" TargetMode="External"/><Relationship Id="rId38" Type="http://schemas.openxmlformats.org/officeDocument/2006/relationships/hyperlink" Target="https://docs.google.com/document/d/1KWqiQRt4NvZuv2_3GC2UQWi7agGABNUshk7Pk_lRDTM/edit?tab=t.e295cqcovcua" TargetMode="External"/><Relationship Id="rId62" Type="http://schemas.openxmlformats.org/officeDocument/2006/relationships/hyperlink" Target="https://docs.google.com/document/d/1KWqiQRt4NvZuv2_3GC2UQWi7agGABNUshk7Pk_lRDTM/edit?tab=t.a1wqgvh0nf18" TargetMode="External"/><Relationship Id="rId61" Type="http://schemas.openxmlformats.org/officeDocument/2006/relationships/hyperlink" Target="https://www.hotgenbiotech.com/global-ivd-market-hotgen-continues-to-empower-industry-innovation.html" TargetMode="External"/><Relationship Id="rId20" Type="http://schemas.openxmlformats.org/officeDocument/2006/relationships/hyperlink" Target="https://docs.google.com/document/d/1KWqiQRt4NvZuv2_3GC2UQWi7agGABNUshk7Pk_lRDTM/edit?tab=t.ak33gswga5js" TargetMode="External"/><Relationship Id="rId64" Type="http://schemas.openxmlformats.org/officeDocument/2006/relationships/hyperlink" Target="https://docs.google.com/document/d/1KWqiQRt4NvZuv2_3GC2UQWi7agGABNUshk7Pk_lRDTM/edit?tab=t.bhrkwonj8qcc" TargetMode="External"/><Relationship Id="rId63" Type="http://schemas.openxmlformats.org/officeDocument/2006/relationships/hyperlink" Target="https://www.vvrinternational.com/the-2025-medtech-standoff-navigating-eu-china-procurement-barriers-unlocking-the-in-country-advantage-en/" TargetMode="External"/><Relationship Id="rId22" Type="http://schemas.openxmlformats.org/officeDocument/2006/relationships/hyperlink" Target="https://docs.google.com/document/d/1KWqiQRt4NvZuv2_3GC2UQWi7agGABNUshk7Pk_lRDTM/edit?tab=t.ruwhwhwokyne" TargetMode="External"/><Relationship Id="rId66" Type="http://schemas.openxmlformats.org/officeDocument/2006/relationships/hyperlink" Target="https://docs.google.com/document/d/1KWqiQRt4NvZuv2_3GC2UQWi7agGABNUshk7Pk_lRDTM/edit?tab=t.p50hmfb02khk" TargetMode="External"/><Relationship Id="rId21" Type="http://schemas.openxmlformats.org/officeDocument/2006/relationships/hyperlink" Target="https://en.caclp.com/industry-news/3567.html" TargetMode="External"/><Relationship Id="rId65" Type="http://schemas.openxmlformats.org/officeDocument/2006/relationships/hyperlink" Target="https://drive.google.com/file/d/1qbxlvq78ctwyKt2SVWXmVKcei0I8-51V/view" TargetMode="External"/><Relationship Id="rId24" Type="http://schemas.openxmlformats.org/officeDocument/2006/relationships/hyperlink" Target="https://docs.google.com/document/d/1KWqiQRt4NvZuv2_3GC2UQWi7agGABNUshk7Pk_lRDTM/edit?tab=t.p0ocel2htuvo" TargetMode="External"/><Relationship Id="rId68" Type="http://schemas.openxmlformats.org/officeDocument/2006/relationships/hyperlink" Target="https://docs.google.com/document/d/1KWqiQRt4NvZuv2_3GC2UQWi7agGABNUshk7Pk_lRDTM/edit?tab=t.5pdz8vv1e8e3" TargetMode="External"/><Relationship Id="rId23" Type="http://schemas.openxmlformats.org/officeDocument/2006/relationships/hyperlink" Target="https://en.caclp.com/press-release/3381.html" TargetMode="External"/><Relationship Id="rId67" Type="http://schemas.openxmlformats.org/officeDocument/2006/relationships/hyperlink" Target="https://www.medilinkmidlands.com/eu-mdr-ivdr-revision-a-gateway-for-chinese-innovators-entering-uk-and-eu-markets-via-efec/" TargetMode="External"/><Relationship Id="rId60" Type="http://schemas.openxmlformats.org/officeDocument/2006/relationships/hyperlink" Target="https://docs.google.com/document/d/1KWqiQRt4NvZuv2_3GC2UQWi7agGABNUshk7Pk_lRDTM/edit?tab=t.u81do8eh73jq" TargetMode="External"/><Relationship Id="rId26" Type="http://schemas.openxmlformats.org/officeDocument/2006/relationships/hyperlink" Target="https://docs.google.com/document/d/1KWqiQRt4NvZuv2_3GC2UQWi7agGABNUshk7Pk_lRDTM/edit?tab=t.d1a66o4uqg2m" TargetMode="External"/><Relationship Id="rId25" Type="http://schemas.openxmlformats.org/officeDocument/2006/relationships/hyperlink" Target="https://healthcare-in-europe.com/en/news/snibe-makes-an-entry-at-euromedlab.html" TargetMode="External"/><Relationship Id="rId69" Type="http://schemas.openxmlformats.org/officeDocument/2006/relationships/hyperlink" Target="https://www.medtecheurope.org/2025/06/05/eu-green-lights-restriction-to-eu-public-procurement-for-medical-devices-and-companies-from-china/" TargetMode="External"/><Relationship Id="rId28" Type="http://schemas.openxmlformats.org/officeDocument/2006/relationships/hyperlink" Target="https://docs.google.com/document/d/1KWqiQRt4NvZuv2_3GC2UQWi7agGABNUshk7Pk_lRDTM/edit?tab=t.xy3ptsvwrlui" TargetMode="External"/><Relationship Id="rId27" Type="http://schemas.openxmlformats.org/officeDocument/2006/relationships/hyperlink" Target="https://healthmanagement.org/site/p/mindray-in-vitro-diagnostics" TargetMode="External"/><Relationship Id="rId29" Type="http://schemas.openxmlformats.org/officeDocument/2006/relationships/hyperlink" Target="https://hytest.fi/news/mindray-completes-acquisition-of-hytest" TargetMode="External"/><Relationship Id="rId51" Type="http://schemas.openxmlformats.org/officeDocument/2006/relationships/hyperlink" Target="https://www.bakermckenzie.com/en/insight/publications/2025/07/eu-restricts-chinese-medical-devices-to-the-euro-market" TargetMode="External"/><Relationship Id="rId50" Type="http://schemas.openxmlformats.org/officeDocument/2006/relationships/hyperlink" Target="https://docs.google.com/document/d/1KWqiQRt4NvZuv2_3GC2UQWi7agGABNUshk7Pk_lRDTM/edit?tab=t.lyfbv7jd0tt7" TargetMode="External"/><Relationship Id="rId53" Type="http://schemas.openxmlformats.org/officeDocument/2006/relationships/hyperlink" Target="https://www.deloitte.com/content/dam/assets-zone1/cn/en/docs/industries/life-sciences-health-care/2025/deloitte-cn-lshc-chinese-medical-device-companies-going-global-en-240221.pdf" TargetMode="External"/><Relationship Id="rId52" Type="http://schemas.openxmlformats.org/officeDocument/2006/relationships/hyperlink" Target="https://docs.google.com/document/d/1KWqiQRt4NvZuv2_3GC2UQWi7agGABNUshk7Pk_lRDTM/edit?tab=t.mw8u5cw5lf2k" TargetMode="External"/><Relationship Id="rId11" Type="http://schemas.openxmlformats.org/officeDocument/2006/relationships/hyperlink" Target="https://en.caclp.com/industry-news/2808.html" TargetMode="External"/><Relationship Id="rId55" Type="http://schemas.openxmlformats.org/officeDocument/2006/relationships/hyperlink" Target="https://www.diasys-diagnostics.com/company/news/details/news-article/mindray-has-completed-acquisition-of-a-controlling-stake-in-diasys-diagnostic-systems-gmbh/" TargetMode="External"/><Relationship Id="rId10" Type="http://schemas.openxmlformats.org/officeDocument/2006/relationships/hyperlink" Target="https://docs.google.com/document/d/1KWqiQRt4NvZuv2_3GC2UQWi7agGABNUshk7Pk_lRDTM/edit?tab=t.77v4bjdhbodb" TargetMode="External"/><Relationship Id="rId54" Type="http://schemas.openxmlformats.org/officeDocument/2006/relationships/hyperlink" Target="https://docs.google.com/document/d/1KWqiQRt4NvZuv2_3GC2UQWi7agGABNUshk7Pk_lRDTM/edit?tab=t.kk9cyoq8i7qg" TargetMode="External"/><Relationship Id="rId13" Type="http://schemas.openxmlformats.org/officeDocument/2006/relationships/hyperlink" Target="https://en.caclp.com/industry-news/3530.html" TargetMode="External"/><Relationship Id="rId57" Type="http://schemas.openxmlformats.org/officeDocument/2006/relationships/hyperlink" Target="https://www.export.org.uk/insights/trade-news/eu-china-trade-dispute-over-medical-devices-escalates-as-beijing-promises-retaliation-over-eu-procurement-curbs/" TargetMode="External"/><Relationship Id="rId12" Type="http://schemas.openxmlformats.org/officeDocument/2006/relationships/hyperlink" Target="https://docs.google.com/document/d/1KWqiQRt4NvZuv2_3GC2UQWi7agGABNUshk7Pk_lRDTM/edit?tab=t.gubflxce6ci3" TargetMode="External"/><Relationship Id="rId56" Type="http://schemas.openxmlformats.org/officeDocument/2006/relationships/hyperlink" Target="https://docs.google.com/document/d/1KWqiQRt4NvZuv2_3GC2UQWi7agGABNUshk7Pk_lRDTM/edit?tab=t.ipqxqsmtfwww" TargetMode="External"/><Relationship Id="rId15" Type="http://schemas.openxmlformats.org/officeDocument/2006/relationships/hyperlink" Target="https://en.caclp.com/industry-news/1160.html" TargetMode="External"/><Relationship Id="rId59" Type="http://schemas.openxmlformats.org/officeDocument/2006/relationships/hyperlink" Target="https://www.gov.uk/guidance/regulating-medical-devices-in-the-uk" TargetMode="External"/><Relationship Id="rId14" Type="http://schemas.openxmlformats.org/officeDocument/2006/relationships/hyperlink" Target="https://docs.google.com/document/d/1KWqiQRt4NvZuv2_3GC2UQWi7agGABNUshk7Pk_lRDTM/edit?tab=t.8bg42qfv4fnf" TargetMode="External"/><Relationship Id="rId58" Type="http://schemas.openxmlformats.org/officeDocument/2006/relationships/hyperlink" Target="https://docs.google.com/document/d/1KWqiQRt4NvZuv2_3GC2UQWi7agGABNUshk7Pk_lRDTM/edit?tab=t.vuzgyi7urndy" TargetMode="External"/><Relationship Id="rId17" Type="http://schemas.openxmlformats.org/officeDocument/2006/relationships/hyperlink" Target="https://en.caclp.com/industry-news/3349.html" TargetMode="External"/><Relationship Id="rId16" Type="http://schemas.openxmlformats.org/officeDocument/2006/relationships/hyperlink" Target="https://docs.google.com/document/d/1KWqiQRt4NvZuv2_3GC2UQWi7agGABNUshk7Pk_lRDTM/edit?tab=t.s0ioal8sz2ko" TargetMode="External"/><Relationship Id="rId19" Type="http://schemas.openxmlformats.org/officeDocument/2006/relationships/hyperlink" Target="https://en.caclp.com/industry-news/1480.html" TargetMode="External"/><Relationship Id="rId18" Type="http://schemas.openxmlformats.org/officeDocument/2006/relationships/hyperlink" Target="https://docs.google.com/document/d/1KWqiQRt4NvZuv2_3GC2UQWi7agGABNUshk7Pk_lRDTM/edit?tab=t.kqhkm9jneo5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38"/>
    <col customWidth="1" min="2" max="2" width="33.63"/>
    <col customWidth="1" min="3" max="3" width="127.63"/>
  </cols>
  <sheetData>
    <row r="1">
      <c r="A1" s="1"/>
      <c r="B1" s="2"/>
      <c r="C1" s="2" t="s">
        <v>0</v>
      </c>
      <c r="D1" s="3"/>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ht="23.25" customHeight="1">
      <c r="A3" s="4" t="s">
        <v>1</v>
      </c>
      <c r="B3" s="5"/>
      <c r="C3" s="3"/>
      <c r="D3" s="3"/>
      <c r="E3" s="3"/>
      <c r="F3" s="3"/>
      <c r="G3" s="3"/>
      <c r="H3" s="3"/>
      <c r="I3" s="3"/>
      <c r="J3" s="3"/>
      <c r="K3" s="3"/>
      <c r="L3" s="3"/>
      <c r="M3" s="3"/>
      <c r="N3" s="3"/>
      <c r="O3" s="3"/>
      <c r="P3" s="3"/>
      <c r="Q3" s="3"/>
      <c r="R3" s="3"/>
      <c r="S3" s="3"/>
      <c r="T3" s="3"/>
      <c r="U3" s="3"/>
      <c r="V3" s="3"/>
      <c r="W3" s="3"/>
      <c r="X3" s="3"/>
      <c r="Y3" s="3"/>
      <c r="Z3" s="3"/>
    </row>
    <row r="4" ht="82.5" customHeight="1">
      <c r="A4" s="6"/>
      <c r="B4" s="7" t="s">
        <v>2</v>
      </c>
      <c r="C4" s="8"/>
      <c r="D4" s="3"/>
      <c r="E4" s="3"/>
      <c r="F4" s="3"/>
      <c r="G4" s="3"/>
      <c r="H4" s="3"/>
      <c r="I4" s="3"/>
      <c r="J4" s="3"/>
      <c r="K4" s="3"/>
      <c r="L4" s="3"/>
      <c r="M4" s="3"/>
      <c r="N4" s="3"/>
      <c r="O4" s="3"/>
      <c r="P4" s="3"/>
      <c r="Q4" s="3"/>
      <c r="R4" s="3"/>
      <c r="S4" s="3"/>
      <c r="T4" s="3"/>
      <c r="U4" s="3"/>
      <c r="V4" s="3"/>
      <c r="W4" s="3"/>
      <c r="X4" s="3"/>
      <c r="Y4" s="3"/>
      <c r="Z4" s="3"/>
    </row>
    <row r="5" ht="16.5" customHeight="1">
      <c r="A5" s="9"/>
      <c r="B5" s="10"/>
      <c r="D5" s="3"/>
      <c r="E5" s="3"/>
      <c r="F5" s="3"/>
      <c r="G5" s="3"/>
      <c r="H5" s="3"/>
      <c r="I5" s="3"/>
      <c r="J5" s="3"/>
      <c r="K5" s="3"/>
      <c r="L5" s="3"/>
      <c r="M5" s="3"/>
      <c r="N5" s="3"/>
      <c r="O5" s="3"/>
      <c r="P5" s="3"/>
      <c r="Q5" s="3"/>
      <c r="R5" s="3"/>
      <c r="S5" s="3"/>
      <c r="T5" s="3"/>
      <c r="U5" s="3"/>
      <c r="V5" s="3"/>
      <c r="W5" s="3"/>
      <c r="X5" s="3"/>
      <c r="Y5" s="3"/>
      <c r="Z5" s="3"/>
    </row>
    <row r="6">
      <c r="A6" s="11" t="s">
        <v>3</v>
      </c>
      <c r="B6" s="11"/>
      <c r="C6" s="3"/>
      <c r="D6" s="3"/>
      <c r="E6" s="3"/>
      <c r="F6" s="3"/>
      <c r="G6" s="3"/>
      <c r="H6" s="3"/>
      <c r="I6" s="3"/>
      <c r="J6" s="3"/>
      <c r="K6" s="3"/>
      <c r="L6" s="3"/>
      <c r="M6" s="3"/>
      <c r="N6" s="3"/>
      <c r="O6" s="3"/>
      <c r="P6" s="3"/>
      <c r="Q6" s="3"/>
      <c r="R6" s="3"/>
      <c r="S6" s="3"/>
      <c r="T6" s="3"/>
      <c r="U6" s="3"/>
      <c r="V6" s="3"/>
      <c r="W6" s="3"/>
      <c r="X6" s="3"/>
      <c r="Y6" s="3"/>
      <c r="Z6" s="3"/>
    </row>
    <row r="7">
      <c r="A7" s="3"/>
      <c r="B7" s="12" t="s">
        <v>4</v>
      </c>
      <c r="C7" s="8"/>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4" t="s">
        <v>5</v>
      </c>
      <c r="B9" s="1"/>
      <c r="C9" s="3"/>
      <c r="D9" s="3"/>
      <c r="E9" s="3"/>
      <c r="F9" s="3"/>
      <c r="G9" s="3"/>
      <c r="H9" s="3"/>
      <c r="I9" s="3"/>
      <c r="J9" s="3"/>
      <c r="K9" s="3"/>
      <c r="L9" s="3"/>
      <c r="M9" s="3"/>
      <c r="N9" s="3"/>
      <c r="O9" s="3"/>
      <c r="P9" s="3"/>
      <c r="Q9" s="3"/>
      <c r="R9" s="3"/>
      <c r="S9" s="3"/>
      <c r="T9" s="3"/>
      <c r="U9" s="3"/>
      <c r="V9" s="3"/>
      <c r="W9" s="3"/>
      <c r="X9" s="3"/>
      <c r="Y9" s="3"/>
      <c r="Z9" s="3"/>
    </row>
    <row r="10">
      <c r="A10" s="3"/>
      <c r="B10" s="13" t="s">
        <v>6</v>
      </c>
      <c r="C10" s="13" t="s">
        <v>7</v>
      </c>
      <c r="D10" s="3"/>
      <c r="E10" s="3"/>
      <c r="F10" s="3"/>
      <c r="G10" s="3"/>
      <c r="H10" s="3"/>
      <c r="I10" s="3"/>
      <c r="J10" s="3"/>
      <c r="K10" s="3"/>
      <c r="L10" s="3"/>
      <c r="M10" s="3"/>
      <c r="N10" s="3"/>
      <c r="O10" s="3"/>
      <c r="P10" s="3"/>
      <c r="Q10" s="3"/>
      <c r="R10" s="3"/>
      <c r="S10" s="3"/>
      <c r="T10" s="3"/>
      <c r="U10" s="3"/>
      <c r="V10" s="3"/>
      <c r="W10" s="3"/>
      <c r="X10" s="3"/>
      <c r="Y10" s="3"/>
      <c r="Z10" s="3"/>
    </row>
    <row r="11">
      <c r="A11" s="3"/>
      <c r="B11" s="14" t="s">
        <v>8</v>
      </c>
      <c r="C11" s="14" t="s">
        <v>9</v>
      </c>
      <c r="D11" s="3"/>
      <c r="E11" s="3"/>
      <c r="F11" s="3"/>
      <c r="G11" s="3"/>
      <c r="H11" s="3"/>
      <c r="I11" s="3"/>
      <c r="J11" s="3"/>
      <c r="K11" s="3"/>
      <c r="L11" s="3"/>
      <c r="M11" s="3"/>
      <c r="N11" s="3"/>
      <c r="O11" s="3"/>
      <c r="P11" s="3"/>
      <c r="Q11" s="3"/>
      <c r="R11" s="3"/>
      <c r="S11" s="3"/>
      <c r="T11" s="3"/>
      <c r="U11" s="3"/>
      <c r="V11" s="3"/>
      <c r="W11" s="3"/>
      <c r="X11" s="3"/>
      <c r="Y11" s="3"/>
      <c r="Z11" s="3"/>
    </row>
    <row r="12">
      <c r="A12" s="3"/>
      <c r="B12" s="14" t="s">
        <v>10</v>
      </c>
      <c r="C12" s="14" t="s">
        <v>11</v>
      </c>
      <c r="D12" s="3"/>
      <c r="E12" s="3"/>
      <c r="F12" s="3"/>
      <c r="G12" s="3"/>
      <c r="H12" s="3"/>
      <c r="I12" s="3"/>
      <c r="J12" s="3"/>
      <c r="K12" s="3"/>
      <c r="L12" s="3"/>
      <c r="M12" s="3"/>
      <c r="N12" s="3"/>
      <c r="O12" s="3"/>
      <c r="P12" s="3"/>
      <c r="Q12" s="3"/>
      <c r="R12" s="3"/>
      <c r="S12" s="3"/>
      <c r="T12" s="3"/>
      <c r="U12" s="3"/>
      <c r="V12" s="3"/>
      <c r="W12" s="3"/>
      <c r="X12" s="3"/>
      <c r="Y12" s="3"/>
      <c r="Z12" s="3"/>
    </row>
    <row r="13">
      <c r="A13" s="3"/>
      <c r="B13" s="14" t="s">
        <v>12</v>
      </c>
      <c r="C13" s="14" t="s">
        <v>13</v>
      </c>
      <c r="D13" s="3"/>
      <c r="E13" s="3"/>
      <c r="F13" s="3"/>
      <c r="G13" s="3"/>
      <c r="H13" s="3"/>
      <c r="I13" s="3"/>
      <c r="J13" s="3"/>
      <c r="K13" s="3"/>
      <c r="L13" s="3"/>
      <c r="M13" s="3"/>
      <c r="N13" s="3"/>
      <c r="O13" s="3"/>
      <c r="P13" s="3"/>
      <c r="Q13" s="3"/>
      <c r="R13" s="3"/>
      <c r="S13" s="3"/>
      <c r="T13" s="3"/>
      <c r="U13" s="3"/>
      <c r="V13" s="3"/>
      <c r="W13" s="3"/>
      <c r="X13" s="3"/>
      <c r="Y13" s="3"/>
      <c r="Z13" s="3"/>
    </row>
    <row r="14">
      <c r="A14" s="3"/>
      <c r="B14" s="14" t="s">
        <v>14</v>
      </c>
      <c r="C14" s="14" t="s">
        <v>15</v>
      </c>
      <c r="D14" s="3"/>
      <c r="E14" s="3"/>
      <c r="F14" s="3"/>
      <c r="G14" s="3"/>
      <c r="H14" s="3"/>
      <c r="I14" s="3"/>
      <c r="J14" s="3"/>
      <c r="K14" s="3"/>
      <c r="L14" s="3"/>
      <c r="M14" s="3"/>
      <c r="N14" s="3"/>
      <c r="O14" s="3"/>
      <c r="P14" s="3"/>
      <c r="Q14" s="3"/>
      <c r="R14" s="3"/>
      <c r="S14" s="3"/>
      <c r="T14" s="3"/>
      <c r="U14" s="3"/>
      <c r="V14" s="3"/>
      <c r="W14" s="3"/>
      <c r="X14" s="3"/>
      <c r="Y14" s="3"/>
      <c r="Z14" s="3"/>
    </row>
    <row r="15">
      <c r="A15" s="3"/>
      <c r="B15" s="14" t="s">
        <v>16</v>
      </c>
      <c r="C15" s="14" t="s">
        <v>17</v>
      </c>
      <c r="D15" s="3"/>
      <c r="E15" s="3"/>
      <c r="F15" s="3"/>
      <c r="G15" s="3"/>
      <c r="H15" s="3"/>
      <c r="I15" s="3"/>
      <c r="J15" s="3"/>
      <c r="K15" s="3"/>
      <c r="L15" s="3"/>
      <c r="M15" s="3"/>
      <c r="N15" s="3"/>
      <c r="O15" s="3"/>
      <c r="P15" s="3"/>
      <c r="Q15" s="3"/>
      <c r="R15" s="3"/>
      <c r="S15" s="3"/>
      <c r="T15" s="3"/>
      <c r="U15" s="3"/>
      <c r="V15" s="3"/>
      <c r="W15" s="3"/>
      <c r="X15" s="3"/>
      <c r="Y15" s="3"/>
      <c r="Z15" s="3"/>
    </row>
    <row r="16">
      <c r="A16" s="3"/>
      <c r="B16" s="14" t="s">
        <v>18</v>
      </c>
      <c r="C16" s="14" t="s">
        <v>19</v>
      </c>
      <c r="D16" s="3"/>
      <c r="E16" s="3"/>
      <c r="F16" s="3"/>
      <c r="G16" s="3"/>
      <c r="H16" s="3"/>
      <c r="I16" s="3"/>
      <c r="J16" s="3"/>
      <c r="K16" s="3"/>
      <c r="L16" s="3"/>
      <c r="M16" s="3"/>
      <c r="N16" s="3"/>
      <c r="O16" s="3"/>
      <c r="P16" s="3"/>
      <c r="Q16" s="3"/>
      <c r="R16" s="3"/>
      <c r="S16" s="3"/>
      <c r="T16" s="3"/>
      <c r="U16" s="3"/>
      <c r="V16" s="3"/>
      <c r="W16" s="3"/>
      <c r="X16" s="3"/>
      <c r="Y16" s="3"/>
      <c r="Z16" s="3"/>
    </row>
    <row r="17">
      <c r="A17" s="3"/>
      <c r="B17" s="14" t="s">
        <v>7</v>
      </c>
      <c r="C17" s="14" t="s">
        <v>20</v>
      </c>
      <c r="D17" s="3"/>
      <c r="E17" s="3"/>
      <c r="F17" s="3"/>
      <c r="G17" s="3"/>
      <c r="H17" s="3"/>
      <c r="I17" s="3"/>
      <c r="J17" s="3"/>
      <c r="K17" s="3"/>
      <c r="L17" s="3"/>
      <c r="M17" s="3"/>
      <c r="N17" s="3"/>
      <c r="O17" s="3"/>
      <c r="P17" s="3"/>
      <c r="Q17" s="3"/>
      <c r="R17" s="3"/>
      <c r="S17" s="3"/>
      <c r="T17" s="3"/>
      <c r="U17" s="3"/>
      <c r="V17" s="3"/>
      <c r="W17" s="3"/>
      <c r="X17" s="3"/>
      <c r="Y17" s="3"/>
      <c r="Z17" s="3"/>
    </row>
    <row r="18">
      <c r="A18" s="3"/>
      <c r="B18" s="14" t="s">
        <v>21</v>
      </c>
      <c r="C18" s="14" t="s">
        <v>22</v>
      </c>
      <c r="D18" s="3"/>
      <c r="E18" s="3"/>
      <c r="F18" s="3"/>
      <c r="G18" s="3"/>
      <c r="H18" s="3"/>
      <c r="I18" s="3"/>
      <c r="J18" s="3"/>
      <c r="K18" s="3"/>
      <c r="L18" s="3"/>
      <c r="M18" s="3"/>
      <c r="N18" s="3"/>
      <c r="O18" s="3"/>
      <c r="P18" s="3"/>
      <c r="Q18" s="3"/>
      <c r="R18" s="3"/>
      <c r="S18" s="3"/>
      <c r="T18" s="3"/>
      <c r="U18" s="3"/>
      <c r="V18" s="3"/>
      <c r="W18" s="3"/>
      <c r="X18" s="3"/>
      <c r="Y18" s="3"/>
      <c r="Z18" s="3"/>
    </row>
    <row r="19">
      <c r="A19" s="3"/>
      <c r="B19" s="14" t="s">
        <v>23</v>
      </c>
      <c r="C19" s="14" t="s">
        <v>24</v>
      </c>
      <c r="D19" s="3"/>
      <c r="E19" s="3"/>
      <c r="F19" s="3"/>
      <c r="G19" s="3"/>
      <c r="H19" s="3"/>
      <c r="I19" s="3"/>
      <c r="J19" s="3"/>
      <c r="K19" s="3"/>
      <c r="L19" s="3"/>
      <c r="M19" s="3"/>
      <c r="N19" s="3"/>
      <c r="O19" s="3"/>
      <c r="P19" s="3"/>
      <c r="Q19" s="3"/>
      <c r="R19" s="3"/>
      <c r="S19" s="3"/>
      <c r="T19" s="3"/>
      <c r="U19" s="3"/>
      <c r="V19" s="3"/>
      <c r="W19" s="3"/>
      <c r="X19" s="3"/>
      <c r="Y19" s="3"/>
      <c r="Z19" s="3"/>
    </row>
    <row r="20">
      <c r="A20" s="3"/>
      <c r="B20" s="14" t="s">
        <v>25</v>
      </c>
      <c r="C20" s="14" t="s">
        <v>26</v>
      </c>
      <c r="D20" s="3"/>
      <c r="E20" s="3"/>
      <c r="F20" s="3"/>
      <c r="G20" s="3"/>
      <c r="H20" s="3"/>
      <c r="I20" s="3"/>
      <c r="J20" s="3"/>
      <c r="K20" s="3"/>
      <c r="L20" s="3"/>
      <c r="M20" s="3"/>
      <c r="N20" s="3"/>
      <c r="O20" s="3"/>
      <c r="P20" s="3"/>
      <c r="Q20" s="3"/>
      <c r="R20" s="3"/>
      <c r="S20" s="3"/>
      <c r="T20" s="3"/>
      <c r="U20" s="3"/>
      <c r="V20" s="3"/>
      <c r="W20" s="3"/>
      <c r="X20" s="3"/>
      <c r="Y20" s="3"/>
      <c r="Z20" s="3"/>
    </row>
    <row r="21">
      <c r="A21" s="3"/>
      <c r="B21" s="14" t="s">
        <v>27</v>
      </c>
      <c r="C21" s="14" t="s">
        <v>28</v>
      </c>
      <c r="D21" s="3"/>
      <c r="E21" s="3"/>
      <c r="F21" s="3"/>
      <c r="G21" s="3"/>
      <c r="H21" s="3"/>
      <c r="I21" s="3"/>
      <c r="J21" s="3"/>
      <c r="K21" s="3"/>
      <c r="L21" s="3"/>
      <c r="M21" s="3"/>
      <c r="N21" s="3"/>
      <c r="O21" s="3"/>
      <c r="P21" s="3"/>
      <c r="Q21" s="3"/>
      <c r="R21" s="3"/>
      <c r="S21" s="3"/>
      <c r="T21" s="3"/>
      <c r="U21" s="3"/>
      <c r="V21" s="3"/>
      <c r="W21" s="3"/>
      <c r="X21" s="3"/>
      <c r="Y21" s="3"/>
      <c r="Z21" s="3"/>
    </row>
    <row r="22">
      <c r="A22" s="3"/>
      <c r="B22" s="14" t="s">
        <v>29</v>
      </c>
      <c r="C22" s="14" t="s">
        <v>30</v>
      </c>
      <c r="D22" s="3"/>
      <c r="E22" s="3"/>
      <c r="F22" s="3"/>
      <c r="G22" s="3"/>
      <c r="H22" s="3"/>
      <c r="I22" s="3"/>
      <c r="J22" s="3"/>
      <c r="K22" s="3"/>
      <c r="L22" s="3"/>
      <c r="M22" s="3"/>
      <c r="N22" s="3"/>
      <c r="O22" s="3"/>
      <c r="P22" s="3"/>
      <c r="Q22" s="3"/>
      <c r="R22" s="3"/>
      <c r="S22" s="3"/>
      <c r="T22" s="3"/>
      <c r="U22" s="3"/>
      <c r="V22" s="3"/>
      <c r="W22" s="3"/>
      <c r="X22" s="3"/>
      <c r="Y22" s="3"/>
      <c r="Z22" s="3"/>
    </row>
    <row r="23">
      <c r="A23" s="3"/>
      <c r="B23" s="14" t="s">
        <v>31</v>
      </c>
      <c r="C23" s="14" t="s">
        <v>32</v>
      </c>
      <c r="D23" s="3"/>
      <c r="E23" s="3"/>
      <c r="F23" s="3"/>
      <c r="G23" s="3"/>
      <c r="H23" s="3"/>
      <c r="I23" s="3"/>
      <c r="J23" s="3"/>
      <c r="K23" s="3"/>
      <c r="L23" s="3"/>
      <c r="M23" s="3"/>
      <c r="N23" s="3"/>
      <c r="O23" s="3"/>
      <c r="P23" s="3"/>
      <c r="Q23" s="3"/>
      <c r="R23" s="3"/>
      <c r="S23" s="3"/>
      <c r="T23" s="3"/>
      <c r="U23" s="3"/>
      <c r="V23" s="3"/>
      <c r="W23" s="3"/>
      <c r="X23" s="3"/>
      <c r="Y23" s="3"/>
      <c r="Z23" s="3"/>
    </row>
    <row r="24">
      <c r="A24" s="3"/>
      <c r="B24" s="14" t="s">
        <v>33</v>
      </c>
      <c r="C24" s="14" t="s">
        <v>34</v>
      </c>
      <c r="D24" s="3"/>
      <c r="E24" s="3"/>
      <c r="F24" s="3"/>
      <c r="G24" s="3"/>
      <c r="H24" s="3"/>
      <c r="I24" s="3"/>
      <c r="J24" s="3"/>
      <c r="K24" s="3"/>
      <c r="L24" s="3"/>
      <c r="M24" s="3"/>
      <c r="N24" s="3"/>
      <c r="O24" s="3"/>
      <c r="P24" s="3"/>
      <c r="Q24" s="3"/>
      <c r="R24" s="3"/>
      <c r="S24" s="3"/>
      <c r="T24" s="3"/>
      <c r="U24" s="3"/>
      <c r="V24" s="3"/>
      <c r="W24" s="3"/>
      <c r="X24" s="3"/>
      <c r="Y24" s="3"/>
      <c r="Z24" s="3"/>
    </row>
    <row r="25">
      <c r="A25" s="3"/>
      <c r="B25" s="14" t="s">
        <v>35</v>
      </c>
      <c r="C25" s="14" t="s">
        <v>36</v>
      </c>
      <c r="D25" s="3"/>
      <c r="E25" s="3"/>
      <c r="F25" s="3"/>
      <c r="G25" s="3"/>
      <c r="H25" s="3"/>
      <c r="I25" s="3"/>
      <c r="J25" s="3"/>
      <c r="K25" s="3"/>
      <c r="L25" s="3"/>
      <c r="M25" s="3"/>
      <c r="N25" s="3"/>
      <c r="O25" s="3"/>
      <c r="P25" s="3"/>
      <c r="Q25" s="3"/>
      <c r="R25" s="3"/>
      <c r="S25" s="3"/>
      <c r="T25" s="3"/>
      <c r="U25" s="3"/>
      <c r="V25" s="3"/>
      <c r="W25" s="3"/>
      <c r="X25" s="3"/>
      <c r="Y25" s="3"/>
      <c r="Z25" s="3"/>
    </row>
    <row r="26">
      <c r="A26" s="3"/>
      <c r="B26" s="14" t="s">
        <v>37</v>
      </c>
      <c r="C26" s="14" t="s">
        <v>38</v>
      </c>
      <c r="D26" s="3"/>
      <c r="E26" s="3"/>
      <c r="F26" s="3"/>
      <c r="G26" s="3"/>
      <c r="H26" s="3"/>
      <c r="I26" s="3"/>
      <c r="J26" s="3"/>
      <c r="K26" s="3"/>
      <c r="L26" s="3"/>
      <c r="M26" s="3"/>
      <c r="N26" s="3"/>
      <c r="O26" s="3"/>
      <c r="P26" s="3"/>
      <c r="Q26" s="3"/>
      <c r="R26" s="3"/>
      <c r="S26" s="3"/>
      <c r="T26" s="3"/>
      <c r="U26" s="3"/>
      <c r="V26" s="3"/>
      <c r="W26" s="3"/>
      <c r="X26" s="3"/>
      <c r="Y26" s="3"/>
      <c r="Z26" s="3"/>
    </row>
    <row r="27">
      <c r="A27" s="3"/>
      <c r="B27" s="14" t="s">
        <v>39</v>
      </c>
      <c r="C27" s="14" t="s">
        <v>40</v>
      </c>
      <c r="D27" s="3"/>
      <c r="E27" s="3"/>
      <c r="F27" s="3"/>
      <c r="G27" s="3"/>
      <c r="H27" s="3"/>
      <c r="I27" s="3"/>
      <c r="J27" s="3"/>
      <c r="K27" s="3"/>
      <c r="L27" s="3"/>
      <c r="M27" s="3"/>
      <c r="N27" s="3"/>
      <c r="O27" s="3"/>
      <c r="P27" s="3"/>
      <c r="Q27" s="3"/>
      <c r="R27" s="3"/>
      <c r="S27" s="3"/>
      <c r="T27" s="3"/>
      <c r="U27" s="3"/>
      <c r="V27" s="3"/>
      <c r="W27" s="3"/>
      <c r="X27" s="3"/>
      <c r="Y27" s="3"/>
      <c r="Z27" s="3"/>
    </row>
    <row r="28">
      <c r="A28" s="3"/>
      <c r="B28" s="14" t="s">
        <v>41</v>
      </c>
      <c r="C28" s="14" t="s">
        <v>42</v>
      </c>
      <c r="D28" s="3"/>
      <c r="E28" s="3"/>
      <c r="F28" s="3"/>
      <c r="G28" s="3"/>
      <c r="H28" s="3"/>
      <c r="I28" s="3"/>
      <c r="J28" s="3"/>
      <c r="K28" s="3"/>
      <c r="L28" s="3"/>
      <c r="M28" s="3"/>
      <c r="N28" s="3"/>
      <c r="O28" s="3"/>
      <c r="P28" s="3"/>
      <c r="Q28" s="3"/>
      <c r="R28" s="3"/>
      <c r="S28" s="3"/>
      <c r="T28" s="3"/>
      <c r="U28" s="3"/>
      <c r="V28" s="3"/>
      <c r="W28" s="3"/>
      <c r="X28" s="3"/>
      <c r="Y28" s="3"/>
      <c r="Z28" s="3"/>
    </row>
    <row r="29" ht="33.0" customHeight="1">
      <c r="A29" s="3"/>
      <c r="B29" s="14" t="s">
        <v>43</v>
      </c>
      <c r="C29" s="15" t="s">
        <v>44</v>
      </c>
      <c r="D29" s="3"/>
      <c r="E29" s="3"/>
      <c r="F29" s="3"/>
      <c r="G29" s="3"/>
      <c r="H29" s="3"/>
      <c r="I29" s="3"/>
      <c r="J29" s="3"/>
      <c r="K29" s="3"/>
      <c r="L29" s="3"/>
      <c r="M29" s="3"/>
      <c r="N29" s="3"/>
      <c r="O29" s="3"/>
      <c r="P29" s="3"/>
      <c r="Q29" s="3"/>
      <c r="R29" s="3"/>
      <c r="S29" s="3"/>
      <c r="T29" s="3"/>
      <c r="U29" s="3"/>
      <c r="V29" s="3"/>
      <c r="W29" s="3"/>
      <c r="X29" s="3"/>
      <c r="Y29" s="3"/>
      <c r="Z29" s="3"/>
    </row>
    <row r="30">
      <c r="A30" s="3"/>
      <c r="B30" s="15" t="s">
        <v>45</v>
      </c>
      <c r="C30" s="15" t="s">
        <v>46</v>
      </c>
      <c r="D30" s="3"/>
      <c r="E30" s="3"/>
      <c r="F30" s="3"/>
      <c r="G30" s="3"/>
      <c r="H30" s="3"/>
      <c r="I30" s="3"/>
      <c r="J30" s="3"/>
      <c r="K30" s="3"/>
      <c r="L30" s="3"/>
      <c r="M30" s="3"/>
      <c r="N30" s="3"/>
      <c r="O30" s="3"/>
      <c r="P30" s="3"/>
      <c r="Q30" s="3"/>
      <c r="R30" s="3"/>
      <c r="S30" s="3"/>
      <c r="T30" s="3"/>
      <c r="U30" s="3"/>
      <c r="V30" s="3"/>
      <c r="W30" s="3"/>
      <c r="X30" s="3"/>
      <c r="Y30" s="3"/>
      <c r="Z30" s="3"/>
    </row>
    <row r="31">
      <c r="A31" s="3"/>
      <c r="B31" s="16" t="s">
        <v>47</v>
      </c>
      <c r="C31" s="16" t="s">
        <v>48</v>
      </c>
      <c r="D31" s="3"/>
      <c r="E31" s="3"/>
      <c r="F31" s="3"/>
      <c r="G31" s="3"/>
      <c r="H31" s="3"/>
      <c r="I31" s="3"/>
      <c r="J31" s="3"/>
      <c r="K31" s="3"/>
      <c r="L31" s="3"/>
      <c r="M31" s="3"/>
      <c r="N31" s="3"/>
      <c r="O31" s="3"/>
      <c r="P31" s="3"/>
      <c r="Q31" s="3"/>
      <c r="R31" s="3"/>
      <c r="S31" s="3"/>
      <c r="T31" s="3"/>
      <c r="U31" s="3"/>
      <c r="V31" s="3"/>
      <c r="W31" s="3"/>
      <c r="X31" s="3"/>
      <c r="Y31" s="3"/>
      <c r="Z31" s="3"/>
    </row>
    <row r="32">
      <c r="A32" s="4"/>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17"/>
      <c r="D33" s="3"/>
      <c r="E33" s="3"/>
      <c r="F33" s="3"/>
      <c r="G33" s="3"/>
      <c r="H33" s="3"/>
      <c r="I33" s="3"/>
      <c r="J33" s="3"/>
      <c r="K33" s="3"/>
      <c r="L33" s="3"/>
      <c r="M33" s="3"/>
      <c r="N33" s="3"/>
      <c r="O33" s="3"/>
      <c r="P33" s="3"/>
      <c r="Q33" s="3"/>
      <c r="R33" s="3"/>
      <c r="S33" s="3"/>
      <c r="T33" s="3"/>
      <c r="U33" s="3"/>
      <c r="V33" s="3"/>
      <c r="W33" s="3"/>
      <c r="X33" s="3"/>
      <c r="Y33" s="3"/>
      <c r="Z33" s="3"/>
    </row>
    <row r="34">
      <c r="A34" s="3"/>
      <c r="B34" s="17"/>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sheetData>
  <mergeCells count="5">
    <mergeCell ref="B4:C4"/>
    <mergeCell ref="B5:C5"/>
    <mergeCell ref="B7:C7"/>
    <mergeCell ref="B33:C33"/>
    <mergeCell ref="B34:C3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68.38"/>
    <col customWidth="1" min="3" max="3" width="25.38"/>
    <col customWidth="1" min="7" max="7" width="19.38"/>
    <col customWidth="1" min="9" max="9" width="18.38"/>
    <col customWidth="1" min="13" max="13" width="13.38"/>
    <col customWidth="1" min="14" max="14" width="25.5"/>
    <col customWidth="1" min="20" max="20" width="18.88"/>
    <col customWidth="1" min="29" max="29" width="39.63"/>
  </cols>
  <sheetData>
    <row r="1">
      <c r="A1" s="18" t="s">
        <v>8</v>
      </c>
      <c r="B1" s="19" t="s">
        <v>10</v>
      </c>
      <c r="C1" s="19" t="s">
        <v>12</v>
      </c>
      <c r="D1" s="19" t="s">
        <v>49</v>
      </c>
      <c r="E1" s="19" t="s">
        <v>16</v>
      </c>
      <c r="F1" s="19" t="s">
        <v>18</v>
      </c>
      <c r="G1" s="19" t="s">
        <v>7</v>
      </c>
      <c r="H1" s="19" t="s">
        <v>21</v>
      </c>
      <c r="I1" s="19" t="s">
        <v>23</v>
      </c>
      <c r="J1" s="19" t="s">
        <v>25</v>
      </c>
      <c r="K1" s="19" t="s">
        <v>50</v>
      </c>
      <c r="L1" s="19" t="s">
        <v>29</v>
      </c>
      <c r="M1" s="19" t="s">
        <v>51</v>
      </c>
      <c r="N1" s="20" t="s">
        <v>52</v>
      </c>
      <c r="O1" s="19" t="s">
        <v>53</v>
      </c>
      <c r="P1" s="19" t="s">
        <v>54</v>
      </c>
      <c r="Q1" s="20" t="s">
        <v>52</v>
      </c>
      <c r="R1" s="19" t="s">
        <v>53</v>
      </c>
      <c r="S1" s="19" t="s">
        <v>55</v>
      </c>
      <c r="T1" s="20" t="s">
        <v>52</v>
      </c>
      <c r="U1" s="19" t="s">
        <v>53</v>
      </c>
      <c r="V1" s="19" t="s">
        <v>56</v>
      </c>
      <c r="W1" s="20" t="s">
        <v>52</v>
      </c>
      <c r="X1" s="19" t="s">
        <v>53</v>
      </c>
      <c r="Y1" s="19" t="s">
        <v>39</v>
      </c>
      <c r="Z1" s="20" t="s">
        <v>52</v>
      </c>
      <c r="AA1" s="19" t="s">
        <v>53</v>
      </c>
      <c r="AB1" s="19" t="s">
        <v>41</v>
      </c>
      <c r="AC1" s="21" t="s">
        <v>47</v>
      </c>
    </row>
    <row r="2" ht="39.75" customHeight="1">
      <c r="A2" s="22">
        <f t="shared" ref="A2:A6" si="1">row(A1)</f>
        <v>1</v>
      </c>
      <c r="B2" s="23" t="s">
        <v>57</v>
      </c>
      <c r="C2" s="22" t="s">
        <v>58</v>
      </c>
      <c r="D2" s="22" t="s">
        <v>59</v>
      </c>
      <c r="E2" s="22">
        <v>2025.0</v>
      </c>
      <c r="F2" s="22">
        <v>2025.0</v>
      </c>
      <c r="G2" s="22" t="s">
        <v>60</v>
      </c>
      <c r="H2" s="22" t="s">
        <v>61</v>
      </c>
      <c r="I2" s="24" t="s">
        <v>62</v>
      </c>
      <c r="J2" s="22" t="s">
        <v>63</v>
      </c>
      <c r="K2" s="22" t="s">
        <v>64</v>
      </c>
      <c r="L2" s="22" t="s">
        <v>65</v>
      </c>
      <c r="M2" s="22" t="s">
        <v>66</v>
      </c>
      <c r="N2" s="25" t="s">
        <v>67</v>
      </c>
      <c r="O2" s="22" t="s">
        <v>68</v>
      </c>
      <c r="P2" s="22" t="s">
        <v>66</v>
      </c>
      <c r="Q2" s="22" t="s">
        <v>69</v>
      </c>
      <c r="R2" s="22" t="s">
        <v>70</v>
      </c>
      <c r="S2" s="22" t="s">
        <v>66</v>
      </c>
      <c r="T2" s="25" t="s">
        <v>71</v>
      </c>
      <c r="U2" s="22" t="s">
        <v>72</v>
      </c>
      <c r="V2" s="22" t="s">
        <v>66</v>
      </c>
      <c r="W2" s="22" t="s">
        <v>73</v>
      </c>
      <c r="X2" s="22" t="s">
        <v>74</v>
      </c>
      <c r="Y2" s="22" t="s">
        <v>66</v>
      </c>
      <c r="Z2" s="25" t="s">
        <v>75</v>
      </c>
      <c r="AA2" s="22" t="s">
        <v>76</v>
      </c>
      <c r="AB2" s="25" t="s">
        <v>77</v>
      </c>
      <c r="AC2" s="26" t="s">
        <v>78</v>
      </c>
    </row>
    <row r="3" ht="39.75" customHeight="1">
      <c r="A3" s="22">
        <f t="shared" si="1"/>
        <v>2</v>
      </c>
      <c r="B3" s="23" t="s">
        <v>79</v>
      </c>
      <c r="C3" s="22" t="s">
        <v>80</v>
      </c>
      <c r="D3" s="22" t="s">
        <v>81</v>
      </c>
      <c r="E3" s="22">
        <v>2025.0</v>
      </c>
      <c r="F3" s="22" t="s">
        <v>82</v>
      </c>
      <c r="G3" s="22" t="s">
        <v>83</v>
      </c>
      <c r="H3" s="22" t="s">
        <v>61</v>
      </c>
      <c r="I3" s="24" t="s">
        <v>84</v>
      </c>
      <c r="J3" s="22" t="s">
        <v>82</v>
      </c>
      <c r="K3" s="22" t="s">
        <v>82</v>
      </c>
      <c r="L3" s="22" t="s">
        <v>82</v>
      </c>
      <c r="M3" s="22" t="s">
        <v>66</v>
      </c>
      <c r="N3" s="25" t="s">
        <v>85</v>
      </c>
      <c r="O3" s="22" t="s">
        <v>86</v>
      </c>
      <c r="P3" s="22" t="s">
        <v>66</v>
      </c>
      <c r="Q3" s="22" t="s">
        <v>87</v>
      </c>
      <c r="R3" s="22" t="s">
        <v>88</v>
      </c>
      <c r="S3" s="22" t="s">
        <v>66</v>
      </c>
      <c r="T3" s="25" t="s">
        <v>89</v>
      </c>
      <c r="U3" s="22" t="s">
        <v>90</v>
      </c>
      <c r="V3" s="22" t="s">
        <v>66</v>
      </c>
      <c r="W3" s="25" t="s">
        <v>91</v>
      </c>
      <c r="X3" s="22" t="s">
        <v>92</v>
      </c>
      <c r="Y3" s="22" t="s">
        <v>66</v>
      </c>
      <c r="Z3" s="25" t="s">
        <v>93</v>
      </c>
      <c r="AA3" s="22" t="s">
        <v>94</v>
      </c>
      <c r="AB3" s="22" t="s">
        <v>95</v>
      </c>
      <c r="AC3" s="26" t="s">
        <v>96</v>
      </c>
    </row>
    <row r="4" ht="39.75" customHeight="1">
      <c r="A4" s="22">
        <f t="shared" si="1"/>
        <v>3</v>
      </c>
      <c r="B4" s="23" t="s">
        <v>97</v>
      </c>
      <c r="C4" s="22" t="s">
        <v>98</v>
      </c>
      <c r="D4" s="22" t="s">
        <v>99</v>
      </c>
      <c r="E4" s="22">
        <v>2021.0</v>
      </c>
      <c r="F4" s="22">
        <v>2021.0</v>
      </c>
      <c r="G4" s="22" t="s">
        <v>100</v>
      </c>
      <c r="H4" s="22" t="s">
        <v>61</v>
      </c>
      <c r="I4" s="24" t="s">
        <v>101</v>
      </c>
      <c r="J4" s="22" t="s">
        <v>82</v>
      </c>
      <c r="K4" s="22" t="s">
        <v>82</v>
      </c>
      <c r="L4" s="22" t="s">
        <v>82</v>
      </c>
      <c r="M4" s="22" t="s">
        <v>102</v>
      </c>
      <c r="N4" s="22" t="s">
        <v>82</v>
      </c>
      <c r="O4" s="22" t="s">
        <v>82</v>
      </c>
      <c r="P4" s="22" t="s">
        <v>102</v>
      </c>
      <c r="Q4" s="22" t="s">
        <v>82</v>
      </c>
      <c r="R4" s="22" t="s">
        <v>82</v>
      </c>
      <c r="S4" s="22" t="s">
        <v>66</v>
      </c>
      <c r="T4" s="25" t="s">
        <v>103</v>
      </c>
      <c r="U4" s="22" t="s">
        <v>104</v>
      </c>
      <c r="V4" s="22" t="s">
        <v>66</v>
      </c>
      <c r="W4" s="25" t="s">
        <v>105</v>
      </c>
      <c r="X4" s="22" t="s">
        <v>106</v>
      </c>
      <c r="Y4" s="22" t="s">
        <v>66</v>
      </c>
      <c r="Z4" s="25" t="s">
        <v>107</v>
      </c>
      <c r="AA4" s="22" t="s">
        <v>108</v>
      </c>
      <c r="AB4" s="22" t="s">
        <v>109</v>
      </c>
      <c r="AC4" s="26" t="s">
        <v>110</v>
      </c>
    </row>
    <row r="5" ht="39.75" customHeight="1">
      <c r="A5" s="22">
        <f t="shared" si="1"/>
        <v>4</v>
      </c>
      <c r="B5" s="23" t="s">
        <v>111</v>
      </c>
      <c r="C5" s="22" t="s">
        <v>98</v>
      </c>
      <c r="D5" s="22" t="s">
        <v>99</v>
      </c>
      <c r="E5" s="22">
        <v>2023.0</v>
      </c>
      <c r="F5" s="22">
        <v>2023.0</v>
      </c>
      <c r="G5" s="22" t="s">
        <v>112</v>
      </c>
      <c r="H5" s="22" t="s">
        <v>61</v>
      </c>
      <c r="I5" s="24" t="s">
        <v>113</v>
      </c>
      <c r="J5" s="22" t="s">
        <v>114</v>
      </c>
      <c r="K5" s="22" t="s">
        <v>64</v>
      </c>
      <c r="L5" s="22" t="s">
        <v>115</v>
      </c>
      <c r="M5" s="22" t="s">
        <v>66</v>
      </c>
      <c r="N5" s="22" t="s">
        <v>116</v>
      </c>
      <c r="O5" s="22" t="s">
        <v>117</v>
      </c>
      <c r="P5" s="22" t="s">
        <v>66</v>
      </c>
      <c r="Q5" s="25" t="s">
        <v>118</v>
      </c>
      <c r="R5" s="22" t="s">
        <v>119</v>
      </c>
      <c r="S5" s="22" t="s">
        <v>66</v>
      </c>
      <c r="T5" s="25" t="s">
        <v>120</v>
      </c>
      <c r="U5" s="22" t="s">
        <v>121</v>
      </c>
      <c r="V5" s="22" t="s">
        <v>66</v>
      </c>
      <c r="W5" s="22" t="s">
        <v>122</v>
      </c>
      <c r="X5" s="22" t="s">
        <v>123</v>
      </c>
      <c r="Y5" s="22" t="s">
        <v>66</v>
      </c>
      <c r="Z5" s="25" t="s">
        <v>124</v>
      </c>
      <c r="AA5" s="22" t="s">
        <v>125</v>
      </c>
      <c r="AB5" s="22" t="s">
        <v>126</v>
      </c>
      <c r="AC5" s="26" t="s">
        <v>127</v>
      </c>
    </row>
    <row r="6" ht="39.75" customHeight="1">
      <c r="A6" s="22">
        <f t="shared" si="1"/>
        <v>5</v>
      </c>
      <c r="B6" s="23" t="s">
        <v>128</v>
      </c>
      <c r="C6" s="22" t="s">
        <v>98</v>
      </c>
      <c r="D6" s="22" t="s">
        <v>99</v>
      </c>
      <c r="E6" s="22">
        <v>2024.0</v>
      </c>
      <c r="F6" s="22" t="s">
        <v>129</v>
      </c>
      <c r="G6" s="22" t="s">
        <v>130</v>
      </c>
      <c r="H6" s="22" t="s">
        <v>61</v>
      </c>
      <c r="I6" s="24" t="s">
        <v>131</v>
      </c>
      <c r="J6" s="22" t="s">
        <v>82</v>
      </c>
      <c r="K6" s="22" t="s">
        <v>64</v>
      </c>
      <c r="L6" s="22" t="s">
        <v>132</v>
      </c>
      <c r="M6" s="22" t="s">
        <v>102</v>
      </c>
      <c r="N6" s="22" t="s">
        <v>82</v>
      </c>
      <c r="O6" s="22" t="s">
        <v>82</v>
      </c>
      <c r="P6" s="22" t="s">
        <v>102</v>
      </c>
      <c r="Q6" s="22" t="s">
        <v>82</v>
      </c>
      <c r="R6" s="22" t="s">
        <v>82</v>
      </c>
      <c r="S6" s="22" t="s">
        <v>102</v>
      </c>
      <c r="T6" s="22" t="s">
        <v>82</v>
      </c>
      <c r="U6" s="22" t="s">
        <v>82</v>
      </c>
      <c r="V6" s="22" t="s">
        <v>66</v>
      </c>
      <c r="W6" s="22" t="s">
        <v>133</v>
      </c>
      <c r="X6" s="22" t="s">
        <v>134</v>
      </c>
      <c r="Y6" s="22" t="s">
        <v>66</v>
      </c>
      <c r="Z6" s="25" t="s">
        <v>135</v>
      </c>
      <c r="AA6" s="22" t="s">
        <v>136</v>
      </c>
      <c r="AB6" s="22" t="s">
        <v>137</v>
      </c>
      <c r="AC6" s="26" t="s">
        <v>138</v>
      </c>
    </row>
    <row r="7" ht="39.75" customHeight="1">
      <c r="A7" s="22">
        <f t="shared" ref="A7:A9" si="2">ROW(A6)</f>
        <v>6</v>
      </c>
      <c r="B7" s="23" t="s">
        <v>139</v>
      </c>
      <c r="C7" s="22" t="s">
        <v>98</v>
      </c>
      <c r="D7" s="22" t="s">
        <v>99</v>
      </c>
      <c r="E7" s="22">
        <v>2024.0</v>
      </c>
      <c r="F7" s="22">
        <v>2023.0</v>
      </c>
      <c r="G7" s="22" t="s">
        <v>140</v>
      </c>
      <c r="H7" s="22" t="s">
        <v>61</v>
      </c>
      <c r="I7" s="24" t="s">
        <v>141</v>
      </c>
      <c r="J7" s="22" t="s">
        <v>82</v>
      </c>
      <c r="K7" s="22" t="s">
        <v>64</v>
      </c>
      <c r="L7" s="22" t="s">
        <v>142</v>
      </c>
      <c r="M7" s="22" t="s">
        <v>102</v>
      </c>
      <c r="N7" s="22" t="s">
        <v>82</v>
      </c>
      <c r="O7" s="22" t="s">
        <v>82</v>
      </c>
      <c r="P7" s="22" t="s">
        <v>102</v>
      </c>
      <c r="Q7" s="22" t="s">
        <v>143</v>
      </c>
      <c r="R7" s="22" t="s">
        <v>82</v>
      </c>
      <c r="S7" s="22" t="s">
        <v>102</v>
      </c>
      <c r="T7" s="22" t="s">
        <v>82</v>
      </c>
      <c r="U7" s="22" t="s">
        <v>82</v>
      </c>
      <c r="V7" s="22" t="s">
        <v>102</v>
      </c>
      <c r="W7" s="22" t="s">
        <v>82</v>
      </c>
      <c r="X7" s="22" t="s">
        <v>82</v>
      </c>
      <c r="Y7" s="22" t="s">
        <v>66</v>
      </c>
      <c r="Z7" s="25" t="s">
        <v>144</v>
      </c>
      <c r="AA7" s="22" t="s">
        <v>145</v>
      </c>
      <c r="AB7" s="22" t="s">
        <v>146</v>
      </c>
      <c r="AC7" s="27" t="s">
        <v>147</v>
      </c>
    </row>
    <row r="8" ht="39.75" customHeight="1">
      <c r="A8" s="22">
        <f t="shared" si="2"/>
        <v>7</v>
      </c>
      <c r="B8" s="23" t="s">
        <v>148</v>
      </c>
      <c r="C8" s="22" t="s">
        <v>98</v>
      </c>
      <c r="D8" s="22" t="s">
        <v>99</v>
      </c>
      <c r="E8" s="22">
        <v>2025.0</v>
      </c>
      <c r="F8" s="22">
        <v>2025.0</v>
      </c>
      <c r="G8" s="22" t="s">
        <v>149</v>
      </c>
      <c r="H8" s="22" t="s">
        <v>61</v>
      </c>
      <c r="I8" s="24" t="s">
        <v>150</v>
      </c>
      <c r="J8" s="22" t="s">
        <v>82</v>
      </c>
      <c r="K8" s="22" t="s">
        <v>64</v>
      </c>
      <c r="L8" s="22" t="s">
        <v>151</v>
      </c>
      <c r="M8" s="22" t="s">
        <v>102</v>
      </c>
      <c r="N8" s="22" t="s">
        <v>82</v>
      </c>
      <c r="O8" s="22" t="s">
        <v>82</v>
      </c>
      <c r="P8" s="22" t="s">
        <v>102</v>
      </c>
      <c r="Q8" s="22" t="s">
        <v>82</v>
      </c>
      <c r="R8" s="22" t="s">
        <v>82</v>
      </c>
      <c r="S8" s="22" t="s">
        <v>66</v>
      </c>
      <c r="T8" s="25" t="s">
        <v>152</v>
      </c>
      <c r="U8" s="22" t="s">
        <v>153</v>
      </c>
      <c r="V8" s="22" t="s">
        <v>102</v>
      </c>
      <c r="W8" s="22" t="s">
        <v>82</v>
      </c>
      <c r="X8" s="22" t="s">
        <v>82</v>
      </c>
      <c r="Y8" s="22" t="s">
        <v>66</v>
      </c>
      <c r="Z8" s="25" t="s">
        <v>154</v>
      </c>
      <c r="AA8" s="22" t="s">
        <v>155</v>
      </c>
      <c r="AB8" s="22" t="s">
        <v>156</v>
      </c>
      <c r="AC8" s="26" t="s">
        <v>157</v>
      </c>
    </row>
    <row r="9" ht="39.75" customHeight="1">
      <c r="A9" s="22">
        <f t="shared" si="2"/>
        <v>8</v>
      </c>
      <c r="B9" s="23" t="s">
        <v>158</v>
      </c>
      <c r="C9" s="22" t="s">
        <v>98</v>
      </c>
      <c r="D9" s="22" t="s">
        <v>99</v>
      </c>
      <c r="E9" s="22">
        <v>2021.0</v>
      </c>
      <c r="F9" s="22" t="s">
        <v>159</v>
      </c>
      <c r="G9" s="22" t="s">
        <v>160</v>
      </c>
      <c r="H9" s="22" t="s">
        <v>61</v>
      </c>
      <c r="I9" s="24" t="s">
        <v>161</v>
      </c>
      <c r="J9" s="22" t="s">
        <v>82</v>
      </c>
      <c r="K9" s="22" t="s">
        <v>64</v>
      </c>
      <c r="L9" s="22" t="s">
        <v>162</v>
      </c>
      <c r="M9" s="22" t="s">
        <v>66</v>
      </c>
      <c r="N9" s="22" t="s">
        <v>163</v>
      </c>
      <c r="O9" s="22" t="s">
        <v>164</v>
      </c>
      <c r="P9" s="22" t="s">
        <v>102</v>
      </c>
      <c r="Q9" s="22" t="s">
        <v>82</v>
      </c>
      <c r="R9" s="22" t="s">
        <v>82</v>
      </c>
      <c r="S9" s="22" t="s">
        <v>66</v>
      </c>
      <c r="T9" s="25" t="s">
        <v>165</v>
      </c>
      <c r="U9" s="22" t="s">
        <v>166</v>
      </c>
      <c r="V9" s="22" t="s">
        <v>102</v>
      </c>
      <c r="W9" s="22" t="s">
        <v>82</v>
      </c>
      <c r="X9" s="22" t="s">
        <v>82</v>
      </c>
      <c r="Y9" s="22" t="s">
        <v>66</v>
      </c>
      <c r="Z9" s="22" t="s">
        <v>167</v>
      </c>
      <c r="AA9" s="22" t="s">
        <v>168</v>
      </c>
      <c r="AB9" s="22" t="s">
        <v>169</v>
      </c>
      <c r="AC9" s="26" t="s">
        <v>170</v>
      </c>
    </row>
    <row r="10" ht="39.75" customHeight="1">
      <c r="A10" s="22">
        <f>row(A9)</f>
        <v>9</v>
      </c>
      <c r="B10" s="23" t="s">
        <v>171</v>
      </c>
      <c r="C10" s="22" t="s">
        <v>98</v>
      </c>
      <c r="D10" s="22" t="s">
        <v>99</v>
      </c>
      <c r="E10" s="22">
        <v>2025.0</v>
      </c>
      <c r="F10" s="22">
        <v>2024.0</v>
      </c>
      <c r="G10" s="22" t="s">
        <v>172</v>
      </c>
      <c r="H10" s="22" t="s">
        <v>61</v>
      </c>
      <c r="I10" s="24" t="s">
        <v>173</v>
      </c>
      <c r="J10" s="22" t="s">
        <v>174</v>
      </c>
      <c r="K10" s="22" t="s">
        <v>64</v>
      </c>
      <c r="L10" s="22" t="s">
        <v>175</v>
      </c>
      <c r="M10" s="22" t="s">
        <v>102</v>
      </c>
      <c r="N10" s="22" t="s">
        <v>82</v>
      </c>
      <c r="O10" s="22" t="s">
        <v>82</v>
      </c>
      <c r="P10" s="22" t="s">
        <v>66</v>
      </c>
      <c r="Q10" s="22" t="s">
        <v>176</v>
      </c>
      <c r="R10" s="22" t="s">
        <v>177</v>
      </c>
      <c r="S10" s="22" t="s">
        <v>102</v>
      </c>
      <c r="T10" s="22" t="s">
        <v>82</v>
      </c>
      <c r="U10" s="22" t="s">
        <v>82</v>
      </c>
      <c r="V10" s="22" t="s">
        <v>66</v>
      </c>
      <c r="W10" s="22" t="s">
        <v>178</v>
      </c>
      <c r="X10" s="22" t="s">
        <v>179</v>
      </c>
      <c r="Y10" s="22" t="s">
        <v>66</v>
      </c>
      <c r="Z10" s="25" t="s">
        <v>180</v>
      </c>
      <c r="AA10" s="22" t="s">
        <v>181</v>
      </c>
      <c r="AB10" s="22" t="s">
        <v>182</v>
      </c>
      <c r="AC10" s="26" t="s">
        <v>183</v>
      </c>
    </row>
    <row r="11" ht="39.75" customHeight="1">
      <c r="A11" s="22">
        <v>10.0</v>
      </c>
      <c r="B11" s="23" t="s">
        <v>184</v>
      </c>
      <c r="C11" s="22" t="s">
        <v>98</v>
      </c>
      <c r="D11" s="22" t="s">
        <v>99</v>
      </c>
      <c r="E11" s="22">
        <v>2022.0</v>
      </c>
      <c r="F11" s="22">
        <v>2022.0</v>
      </c>
      <c r="G11" s="22" t="s">
        <v>185</v>
      </c>
      <c r="H11" s="22" t="s">
        <v>61</v>
      </c>
      <c r="I11" s="24" t="s">
        <v>186</v>
      </c>
      <c r="J11" s="22" t="s">
        <v>82</v>
      </c>
      <c r="K11" s="22" t="s">
        <v>82</v>
      </c>
      <c r="L11" s="22" t="s">
        <v>187</v>
      </c>
      <c r="M11" s="22" t="s">
        <v>102</v>
      </c>
      <c r="N11" s="22" t="s">
        <v>82</v>
      </c>
      <c r="O11" s="22" t="s">
        <v>82</v>
      </c>
      <c r="P11" s="22" t="s">
        <v>102</v>
      </c>
      <c r="Q11" s="22" t="s">
        <v>82</v>
      </c>
      <c r="R11" s="22" t="s">
        <v>82</v>
      </c>
      <c r="S11" s="22" t="s">
        <v>66</v>
      </c>
      <c r="T11" s="22" t="s">
        <v>188</v>
      </c>
      <c r="U11" s="22" t="s">
        <v>189</v>
      </c>
      <c r="V11" s="22" t="s">
        <v>66</v>
      </c>
      <c r="W11" s="22" t="s">
        <v>190</v>
      </c>
      <c r="X11" s="22" t="s">
        <v>191</v>
      </c>
      <c r="Y11" s="22" t="s">
        <v>66</v>
      </c>
      <c r="Z11" s="22" t="s">
        <v>192</v>
      </c>
      <c r="AA11" s="22" t="s">
        <v>193</v>
      </c>
      <c r="AB11" s="22" t="s">
        <v>194</v>
      </c>
      <c r="AC11" s="26" t="s">
        <v>195</v>
      </c>
    </row>
    <row r="12" ht="39.75" customHeight="1">
      <c r="A12" s="22">
        <v>11.0</v>
      </c>
      <c r="B12" s="23" t="s">
        <v>196</v>
      </c>
      <c r="C12" s="22" t="s">
        <v>98</v>
      </c>
      <c r="D12" s="22" t="s">
        <v>99</v>
      </c>
      <c r="E12" s="22">
        <v>2025.0</v>
      </c>
      <c r="F12" s="22">
        <v>2025.0</v>
      </c>
      <c r="G12" s="22" t="s">
        <v>197</v>
      </c>
      <c r="H12" s="22" t="s">
        <v>61</v>
      </c>
      <c r="I12" s="24" t="s">
        <v>198</v>
      </c>
      <c r="J12" s="22" t="s">
        <v>82</v>
      </c>
      <c r="K12" s="22" t="s">
        <v>199</v>
      </c>
      <c r="L12" s="22" t="s">
        <v>200</v>
      </c>
      <c r="M12" s="22" t="s">
        <v>102</v>
      </c>
      <c r="N12" s="22" t="s">
        <v>82</v>
      </c>
      <c r="O12" s="22" t="s">
        <v>82</v>
      </c>
      <c r="P12" s="22" t="s">
        <v>102</v>
      </c>
      <c r="Q12" s="22" t="s">
        <v>82</v>
      </c>
      <c r="R12" s="22" t="s">
        <v>82</v>
      </c>
      <c r="S12" s="22" t="s">
        <v>66</v>
      </c>
      <c r="T12" s="25" t="s">
        <v>201</v>
      </c>
      <c r="U12" s="22" t="s">
        <v>202</v>
      </c>
      <c r="V12" s="22" t="s">
        <v>66</v>
      </c>
      <c r="W12" s="22" t="s">
        <v>203</v>
      </c>
      <c r="X12" s="22" t="s">
        <v>204</v>
      </c>
      <c r="Y12" s="22" t="s">
        <v>66</v>
      </c>
      <c r="Z12" s="25" t="s">
        <v>205</v>
      </c>
      <c r="AA12" s="22" t="s">
        <v>206</v>
      </c>
      <c r="AB12" s="22" t="s">
        <v>207</v>
      </c>
      <c r="AC12" s="26" t="s">
        <v>208</v>
      </c>
    </row>
    <row r="13" ht="39.75" customHeight="1">
      <c r="A13" s="22">
        <v>12.0</v>
      </c>
      <c r="B13" s="23" t="s">
        <v>209</v>
      </c>
      <c r="C13" s="22" t="s">
        <v>98</v>
      </c>
      <c r="D13" s="22" t="s">
        <v>81</v>
      </c>
      <c r="E13" s="22">
        <v>2025.0</v>
      </c>
      <c r="F13" s="22">
        <v>2025.0</v>
      </c>
      <c r="G13" s="22" t="s">
        <v>210</v>
      </c>
      <c r="H13" s="22" t="s">
        <v>61</v>
      </c>
      <c r="I13" s="24" t="s">
        <v>211</v>
      </c>
      <c r="J13" s="22" t="s">
        <v>212</v>
      </c>
      <c r="K13" s="22" t="s">
        <v>64</v>
      </c>
      <c r="L13" s="22" t="s">
        <v>213</v>
      </c>
      <c r="M13" s="22" t="s">
        <v>66</v>
      </c>
      <c r="N13" s="22" t="s">
        <v>214</v>
      </c>
      <c r="O13" s="22" t="s">
        <v>215</v>
      </c>
      <c r="P13" s="22" t="s">
        <v>102</v>
      </c>
      <c r="Q13" s="22" t="s">
        <v>82</v>
      </c>
      <c r="R13" s="22" t="s">
        <v>82</v>
      </c>
      <c r="S13" s="22" t="s">
        <v>102</v>
      </c>
      <c r="T13" s="22" t="s">
        <v>82</v>
      </c>
      <c r="U13" s="22" t="s">
        <v>82</v>
      </c>
      <c r="V13" s="22" t="s">
        <v>66</v>
      </c>
      <c r="W13" s="22" t="s">
        <v>216</v>
      </c>
      <c r="X13" s="22" t="s">
        <v>217</v>
      </c>
      <c r="Y13" s="22" t="s">
        <v>66</v>
      </c>
      <c r="Z13" s="25" t="s">
        <v>218</v>
      </c>
      <c r="AA13" s="22" t="s">
        <v>219</v>
      </c>
      <c r="AB13" s="22" t="s">
        <v>220</v>
      </c>
      <c r="AC13" s="26" t="s">
        <v>221</v>
      </c>
    </row>
    <row r="14" ht="39.75" customHeight="1">
      <c r="A14" s="22">
        <f t="shared" ref="A14:A43" si="3">row(A13)</f>
        <v>13</v>
      </c>
      <c r="B14" s="23" t="s">
        <v>222</v>
      </c>
      <c r="C14" s="22" t="s">
        <v>223</v>
      </c>
      <c r="D14" s="22" t="s">
        <v>224</v>
      </c>
      <c r="E14" s="22">
        <v>2013.0</v>
      </c>
      <c r="F14" s="22">
        <v>2013.0</v>
      </c>
      <c r="G14" s="22" t="s">
        <v>225</v>
      </c>
      <c r="H14" s="22" t="s">
        <v>61</v>
      </c>
      <c r="I14" s="24" t="s">
        <v>226</v>
      </c>
      <c r="J14" s="22" t="s">
        <v>227</v>
      </c>
      <c r="K14" s="22" t="s">
        <v>228</v>
      </c>
      <c r="L14" s="22" t="s">
        <v>229</v>
      </c>
      <c r="M14" s="22" t="s">
        <v>66</v>
      </c>
      <c r="N14" s="22" t="s">
        <v>230</v>
      </c>
      <c r="O14" s="22" t="s">
        <v>231</v>
      </c>
      <c r="P14" s="22" t="s">
        <v>66</v>
      </c>
      <c r="Q14" s="22" t="s">
        <v>232</v>
      </c>
      <c r="R14" s="22" t="s">
        <v>233</v>
      </c>
      <c r="S14" s="22" t="s">
        <v>66</v>
      </c>
      <c r="T14" s="22" t="s">
        <v>234</v>
      </c>
      <c r="U14" s="22" t="s">
        <v>235</v>
      </c>
      <c r="V14" s="22" t="s">
        <v>66</v>
      </c>
      <c r="W14" s="22" t="s">
        <v>236</v>
      </c>
      <c r="X14" s="22" t="s">
        <v>237</v>
      </c>
      <c r="Y14" s="22" t="s">
        <v>66</v>
      </c>
      <c r="Z14" s="25" t="s">
        <v>238</v>
      </c>
      <c r="AA14" s="22" t="s">
        <v>239</v>
      </c>
      <c r="AB14" s="22" t="s">
        <v>240</v>
      </c>
      <c r="AC14" s="27" t="s">
        <v>241</v>
      </c>
    </row>
    <row r="15" ht="39.75" customHeight="1">
      <c r="A15" s="22">
        <f t="shared" si="3"/>
        <v>14</v>
      </c>
      <c r="B15" s="23" t="s">
        <v>242</v>
      </c>
      <c r="C15" s="22" t="s">
        <v>243</v>
      </c>
      <c r="D15" s="22" t="s">
        <v>244</v>
      </c>
      <c r="E15" s="22" t="s">
        <v>82</v>
      </c>
      <c r="F15" s="22" t="s">
        <v>82</v>
      </c>
      <c r="G15" s="22" t="s">
        <v>245</v>
      </c>
      <c r="H15" s="22" t="s">
        <v>61</v>
      </c>
      <c r="I15" s="24" t="s">
        <v>246</v>
      </c>
      <c r="J15" s="22" t="s">
        <v>247</v>
      </c>
      <c r="K15" s="22" t="s">
        <v>199</v>
      </c>
      <c r="L15" s="22" t="s">
        <v>82</v>
      </c>
      <c r="M15" s="22" t="s">
        <v>102</v>
      </c>
      <c r="N15" s="22" t="s">
        <v>82</v>
      </c>
      <c r="O15" s="22" t="s">
        <v>82</v>
      </c>
      <c r="P15" s="22" t="s">
        <v>102</v>
      </c>
      <c r="Q15" s="22" t="s">
        <v>82</v>
      </c>
      <c r="R15" s="22" t="s">
        <v>82</v>
      </c>
      <c r="S15" s="22" t="s">
        <v>102</v>
      </c>
      <c r="T15" s="22" t="s">
        <v>82</v>
      </c>
      <c r="U15" s="22" t="s">
        <v>82</v>
      </c>
      <c r="V15" s="22" t="s">
        <v>66</v>
      </c>
      <c r="W15" s="22" t="s">
        <v>248</v>
      </c>
      <c r="X15" s="22" t="s">
        <v>249</v>
      </c>
      <c r="Y15" s="22" t="s">
        <v>66</v>
      </c>
      <c r="Z15" s="22" t="s">
        <v>250</v>
      </c>
      <c r="AA15" s="22" t="s">
        <v>251</v>
      </c>
      <c r="AB15" s="22" t="s">
        <v>252</v>
      </c>
      <c r="AC15" s="27" t="s">
        <v>253</v>
      </c>
    </row>
    <row r="16" ht="39.75" customHeight="1">
      <c r="A16" s="22">
        <f t="shared" si="3"/>
        <v>15</v>
      </c>
      <c r="B16" s="23" t="s">
        <v>254</v>
      </c>
      <c r="C16" s="22" t="s">
        <v>255</v>
      </c>
      <c r="D16" s="22" t="s">
        <v>224</v>
      </c>
      <c r="E16" s="22">
        <v>2021.0</v>
      </c>
      <c r="F16" s="22" t="s">
        <v>82</v>
      </c>
      <c r="G16" s="22" t="s">
        <v>256</v>
      </c>
      <c r="H16" s="22" t="s">
        <v>61</v>
      </c>
      <c r="I16" s="24" t="s">
        <v>257</v>
      </c>
      <c r="J16" s="22" t="s">
        <v>82</v>
      </c>
      <c r="K16" s="22" t="s">
        <v>258</v>
      </c>
      <c r="L16" s="22" t="s">
        <v>259</v>
      </c>
      <c r="M16" s="22" t="s">
        <v>102</v>
      </c>
      <c r="N16" s="22" t="s">
        <v>82</v>
      </c>
      <c r="O16" s="22" t="s">
        <v>82</v>
      </c>
      <c r="P16" s="22" t="s">
        <v>102</v>
      </c>
      <c r="Q16" s="22" t="s">
        <v>82</v>
      </c>
      <c r="R16" s="22" t="s">
        <v>82</v>
      </c>
      <c r="S16" s="22" t="s">
        <v>102</v>
      </c>
      <c r="T16" s="22" t="s">
        <v>82</v>
      </c>
      <c r="U16" s="22" t="s">
        <v>82</v>
      </c>
      <c r="V16" s="22" t="s">
        <v>102</v>
      </c>
      <c r="W16" s="22" t="s">
        <v>82</v>
      </c>
      <c r="X16" s="22" t="s">
        <v>82</v>
      </c>
      <c r="Y16" s="22" t="s">
        <v>66</v>
      </c>
      <c r="Z16" s="22" t="s">
        <v>260</v>
      </c>
      <c r="AA16" s="22" t="s">
        <v>261</v>
      </c>
      <c r="AB16" s="22" t="s">
        <v>262</v>
      </c>
      <c r="AC16" s="27" t="s">
        <v>263</v>
      </c>
    </row>
    <row r="17" ht="39.75" customHeight="1">
      <c r="A17" s="22">
        <f t="shared" si="3"/>
        <v>16</v>
      </c>
      <c r="B17" s="23" t="s">
        <v>264</v>
      </c>
      <c r="C17" s="22" t="s">
        <v>265</v>
      </c>
      <c r="D17" s="22" t="s">
        <v>266</v>
      </c>
      <c r="E17" s="22">
        <v>2025.0</v>
      </c>
      <c r="F17" s="22">
        <v>2023.0</v>
      </c>
      <c r="G17" s="22" t="s">
        <v>267</v>
      </c>
      <c r="H17" s="22" t="s">
        <v>61</v>
      </c>
      <c r="I17" s="24" t="s">
        <v>268</v>
      </c>
      <c r="J17" s="22" t="s">
        <v>114</v>
      </c>
      <c r="K17" s="22" t="s">
        <v>199</v>
      </c>
      <c r="L17" s="22" t="s">
        <v>269</v>
      </c>
      <c r="M17" s="22" t="s">
        <v>102</v>
      </c>
      <c r="N17" s="22" t="s">
        <v>82</v>
      </c>
      <c r="O17" s="22" t="s">
        <v>82</v>
      </c>
      <c r="P17" s="22" t="s">
        <v>102</v>
      </c>
      <c r="Q17" s="22" t="s">
        <v>82</v>
      </c>
      <c r="R17" s="22" t="s">
        <v>82</v>
      </c>
      <c r="S17" s="22" t="s">
        <v>66</v>
      </c>
      <c r="T17" s="22" t="s">
        <v>270</v>
      </c>
      <c r="U17" s="22" t="s">
        <v>271</v>
      </c>
      <c r="V17" s="22" t="s">
        <v>66</v>
      </c>
      <c r="W17" s="22" t="s">
        <v>272</v>
      </c>
      <c r="X17" s="22" t="s">
        <v>273</v>
      </c>
      <c r="Y17" s="22" t="s">
        <v>66</v>
      </c>
      <c r="Z17" s="22" t="s">
        <v>274</v>
      </c>
      <c r="AA17" s="22" t="s">
        <v>275</v>
      </c>
      <c r="AB17" s="22" t="s">
        <v>276</v>
      </c>
      <c r="AC17" s="27" t="s">
        <v>277</v>
      </c>
    </row>
    <row r="18" ht="39.75" customHeight="1">
      <c r="A18" s="22">
        <f t="shared" si="3"/>
        <v>17</v>
      </c>
      <c r="B18" s="23" t="s">
        <v>278</v>
      </c>
      <c r="C18" s="22" t="s">
        <v>279</v>
      </c>
      <c r="D18" s="22" t="s">
        <v>280</v>
      </c>
      <c r="E18" s="22">
        <v>2025.0</v>
      </c>
      <c r="F18" s="22" t="s">
        <v>82</v>
      </c>
      <c r="G18" s="22" t="s">
        <v>281</v>
      </c>
      <c r="H18" s="22" t="s">
        <v>61</v>
      </c>
      <c r="I18" s="24" t="s">
        <v>282</v>
      </c>
      <c r="J18" s="22" t="s">
        <v>283</v>
      </c>
      <c r="K18" s="22" t="s">
        <v>199</v>
      </c>
      <c r="L18" s="22" t="s">
        <v>82</v>
      </c>
      <c r="M18" s="22" t="s">
        <v>66</v>
      </c>
      <c r="N18" s="22" t="s">
        <v>284</v>
      </c>
      <c r="O18" s="22" t="s">
        <v>285</v>
      </c>
      <c r="P18" s="22" t="s">
        <v>66</v>
      </c>
      <c r="Q18" s="25" t="s">
        <v>286</v>
      </c>
      <c r="R18" s="22" t="s">
        <v>287</v>
      </c>
      <c r="S18" s="22" t="s">
        <v>66</v>
      </c>
      <c r="T18" s="22" t="s">
        <v>288</v>
      </c>
      <c r="U18" s="22" t="s">
        <v>289</v>
      </c>
      <c r="V18" s="22" t="s">
        <v>102</v>
      </c>
      <c r="W18" s="22" t="s">
        <v>82</v>
      </c>
      <c r="X18" s="22" t="s">
        <v>82</v>
      </c>
      <c r="Y18" s="22" t="s">
        <v>66</v>
      </c>
      <c r="Z18" s="25" t="s">
        <v>290</v>
      </c>
      <c r="AA18" s="22" t="s">
        <v>291</v>
      </c>
      <c r="AB18" s="22" t="s">
        <v>292</v>
      </c>
      <c r="AC18" s="27" t="s">
        <v>293</v>
      </c>
    </row>
    <row r="19" ht="39.75" customHeight="1">
      <c r="A19" s="22">
        <f t="shared" si="3"/>
        <v>18</v>
      </c>
      <c r="B19" s="23" t="s">
        <v>294</v>
      </c>
      <c r="C19" s="22" t="s">
        <v>295</v>
      </c>
      <c r="D19" s="22" t="s">
        <v>244</v>
      </c>
      <c r="E19" s="22">
        <v>2024.0</v>
      </c>
      <c r="F19" s="22" t="s">
        <v>296</v>
      </c>
      <c r="G19" s="22" t="s">
        <v>297</v>
      </c>
      <c r="H19" s="22" t="s">
        <v>61</v>
      </c>
      <c r="I19" s="24" t="s">
        <v>298</v>
      </c>
      <c r="J19" s="22" t="s">
        <v>174</v>
      </c>
      <c r="K19" s="22" t="s">
        <v>199</v>
      </c>
      <c r="L19" s="22" t="s">
        <v>299</v>
      </c>
      <c r="M19" s="22" t="s">
        <v>66</v>
      </c>
      <c r="N19" s="22" t="s">
        <v>300</v>
      </c>
      <c r="O19" s="22" t="s">
        <v>301</v>
      </c>
      <c r="P19" s="22" t="s">
        <v>66</v>
      </c>
      <c r="Q19" s="22" t="s">
        <v>302</v>
      </c>
      <c r="R19" s="22" t="s">
        <v>303</v>
      </c>
      <c r="S19" s="22" t="s">
        <v>102</v>
      </c>
      <c r="T19" s="22" t="s">
        <v>82</v>
      </c>
      <c r="U19" s="22" t="s">
        <v>82</v>
      </c>
      <c r="V19" s="22" t="s">
        <v>66</v>
      </c>
      <c r="W19" s="22" t="s">
        <v>304</v>
      </c>
      <c r="X19" s="22" t="s">
        <v>305</v>
      </c>
      <c r="Y19" s="22" t="s">
        <v>66</v>
      </c>
      <c r="Z19" s="22" t="s">
        <v>306</v>
      </c>
      <c r="AA19" s="22" t="s">
        <v>307</v>
      </c>
      <c r="AB19" s="22" t="s">
        <v>308</v>
      </c>
      <c r="AC19" s="26" t="s">
        <v>309</v>
      </c>
    </row>
    <row r="20" ht="39.75" customHeight="1">
      <c r="A20" s="22">
        <f t="shared" si="3"/>
        <v>19</v>
      </c>
      <c r="B20" s="23" t="s">
        <v>310</v>
      </c>
      <c r="C20" s="22" t="s">
        <v>311</v>
      </c>
      <c r="D20" s="22" t="s">
        <v>244</v>
      </c>
      <c r="E20" s="22">
        <v>2025.0</v>
      </c>
      <c r="F20" s="22" t="s">
        <v>82</v>
      </c>
      <c r="G20" s="22" t="s">
        <v>312</v>
      </c>
      <c r="H20" s="22" t="s">
        <v>61</v>
      </c>
      <c r="I20" s="24" t="s">
        <v>313</v>
      </c>
      <c r="J20" s="22" t="s">
        <v>314</v>
      </c>
      <c r="K20" s="22" t="s">
        <v>82</v>
      </c>
      <c r="L20" s="22" t="s">
        <v>82</v>
      </c>
      <c r="M20" s="22" t="s">
        <v>66</v>
      </c>
      <c r="N20" s="22" t="s">
        <v>315</v>
      </c>
      <c r="O20" s="22" t="s">
        <v>316</v>
      </c>
      <c r="P20" s="22" t="s">
        <v>66</v>
      </c>
      <c r="Q20" s="22" t="s">
        <v>317</v>
      </c>
      <c r="R20" s="22" t="s">
        <v>318</v>
      </c>
      <c r="S20" s="22" t="s">
        <v>66</v>
      </c>
      <c r="T20" s="22" t="s">
        <v>319</v>
      </c>
      <c r="U20" s="22" t="s">
        <v>320</v>
      </c>
      <c r="V20" s="22" t="s">
        <v>66</v>
      </c>
      <c r="W20" s="22" t="s">
        <v>321</v>
      </c>
      <c r="X20" s="22" t="s">
        <v>322</v>
      </c>
      <c r="Y20" s="22" t="s">
        <v>66</v>
      </c>
      <c r="Z20" s="22" t="s">
        <v>323</v>
      </c>
      <c r="AA20" s="22" t="s">
        <v>324</v>
      </c>
      <c r="AB20" s="22" t="s">
        <v>325</v>
      </c>
      <c r="AC20" s="26" t="s">
        <v>326</v>
      </c>
    </row>
    <row r="21" ht="39.75" customHeight="1">
      <c r="A21" s="22">
        <f t="shared" si="3"/>
        <v>20</v>
      </c>
      <c r="B21" s="23" t="s">
        <v>327</v>
      </c>
      <c r="C21" s="22" t="s">
        <v>311</v>
      </c>
      <c r="D21" s="22" t="s">
        <v>244</v>
      </c>
      <c r="E21" s="22">
        <v>2025.0</v>
      </c>
      <c r="F21" s="22" t="s">
        <v>82</v>
      </c>
      <c r="G21" s="22" t="s">
        <v>328</v>
      </c>
      <c r="H21" s="22" t="s">
        <v>61</v>
      </c>
      <c r="I21" s="24" t="s">
        <v>329</v>
      </c>
      <c r="J21" s="22" t="s">
        <v>330</v>
      </c>
      <c r="K21" s="22" t="s">
        <v>82</v>
      </c>
      <c r="L21" s="22" t="s">
        <v>82</v>
      </c>
      <c r="M21" s="22" t="s">
        <v>66</v>
      </c>
      <c r="N21" s="22" t="s">
        <v>331</v>
      </c>
      <c r="O21" s="22" t="s">
        <v>332</v>
      </c>
      <c r="P21" s="22" t="s">
        <v>66</v>
      </c>
      <c r="Q21" s="22" t="s">
        <v>333</v>
      </c>
      <c r="R21" s="22" t="s">
        <v>334</v>
      </c>
      <c r="S21" s="22" t="s">
        <v>66</v>
      </c>
      <c r="T21" s="22" t="s">
        <v>335</v>
      </c>
      <c r="U21" s="22" t="s">
        <v>336</v>
      </c>
      <c r="V21" s="22" t="s">
        <v>102</v>
      </c>
      <c r="W21" s="22" t="s">
        <v>82</v>
      </c>
      <c r="X21" s="22" t="s">
        <v>82</v>
      </c>
      <c r="Y21" s="22" t="s">
        <v>66</v>
      </c>
      <c r="Z21" s="22" t="s">
        <v>337</v>
      </c>
      <c r="AA21" s="22" t="s">
        <v>338</v>
      </c>
      <c r="AB21" s="22" t="s">
        <v>339</v>
      </c>
      <c r="AC21" s="26" t="s">
        <v>340</v>
      </c>
    </row>
    <row r="22" ht="39.75" customHeight="1">
      <c r="A22" s="22">
        <f t="shared" si="3"/>
        <v>21</v>
      </c>
      <c r="B22" s="23" t="s">
        <v>341</v>
      </c>
      <c r="C22" s="22" t="s">
        <v>311</v>
      </c>
      <c r="D22" s="22" t="s">
        <v>244</v>
      </c>
      <c r="E22" s="22">
        <v>2025.0</v>
      </c>
      <c r="F22" s="22" t="s">
        <v>82</v>
      </c>
      <c r="G22" s="22" t="s">
        <v>342</v>
      </c>
      <c r="H22" s="22" t="s">
        <v>61</v>
      </c>
      <c r="I22" s="24" t="s">
        <v>343</v>
      </c>
      <c r="J22" s="22" t="s">
        <v>344</v>
      </c>
      <c r="K22" s="22" t="s">
        <v>82</v>
      </c>
      <c r="L22" s="22" t="s">
        <v>82</v>
      </c>
      <c r="M22" s="22" t="s">
        <v>66</v>
      </c>
      <c r="N22" s="22" t="s">
        <v>345</v>
      </c>
      <c r="O22" s="22" t="s">
        <v>346</v>
      </c>
      <c r="P22" s="22" t="s">
        <v>66</v>
      </c>
      <c r="Q22" s="22" t="s">
        <v>82</v>
      </c>
      <c r="R22" s="22" t="s">
        <v>82</v>
      </c>
      <c r="S22" s="22" t="s">
        <v>66</v>
      </c>
      <c r="T22" s="22" t="s">
        <v>347</v>
      </c>
      <c r="U22" s="22" t="s">
        <v>348</v>
      </c>
      <c r="V22" s="22" t="s">
        <v>102</v>
      </c>
      <c r="W22" s="22" t="s">
        <v>82</v>
      </c>
      <c r="X22" s="22" t="s">
        <v>82</v>
      </c>
      <c r="Y22" s="22" t="s">
        <v>102</v>
      </c>
      <c r="Z22" s="22" t="s">
        <v>82</v>
      </c>
      <c r="AA22" s="22" t="s">
        <v>82</v>
      </c>
      <c r="AB22" s="22" t="s">
        <v>349</v>
      </c>
      <c r="AC22" s="26" t="s">
        <v>350</v>
      </c>
    </row>
    <row r="23" ht="39.75" customHeight="1">
      <c r="A23" s="22">
        <f t="shared" si="3"/>
        <v>22</v>
      </c>
      <c r="B23" s="23" t="s">
        <v>351</v>
      </c>
      <c r="C23" s="22" t="s">
        <v>311</v>
      </c>
      <c r="D23" s="22" t="s">
        <v>244</v>
      </c>
      <c r="E23" s="22">
        <v>2025.0</v>
      </c>
      <c r="F23" s="22" t="s">
        <v>82</v>
      </c>
      <c r="G23" s="22" t="s">
        <v>352</v>
      </c>
      <c r="H23" s="22" t="s">
        <v>61</v>
      </c>
      <c r="I23" s="24" t="s">
        <v>353</v>
      </c>
      <c r="J23" s="22" t="s">
        <v>354</v>
      </c>
      <c r="K23" s="22" t="s">
        <v>82</v>
      </c>
      <c r="L23" s="22" t="s">
        <v>82</v>
      </c>
      <c r="M23" s="22" t="s">
        <v>66</v>
      </c>
      <c r="N23" s="22" t="s">
        <v>355</v>
      </c>
      <c r="O23" s="22" t="s">
        <v>356</v>
      </c>
      <c r="P23" s="22" t="s">
        <v>66</v>
      </c>
      <c r="Q23" s="22" t="s">
        <v>82</v>
      </c>
      <c r="R23" s="22" t="s">
        <v>82</v>
      </c>
      <c r="S23" s="22" t="s">
        <v>66</v>
      </c>
      <c r="T23" s="22" t="s">
        <v>357</v>
      </c>
      <c r="U23" s="22" t="s">
        <v>358</v>
      </c>
      <c r="V23" s="22" t="s">
        <v>102</v>
      </c>
      <c r="W23" s="22" t="s">
        <v>82</v>
      </c>
      <c r="X23" s="22" t="s">
        <v>82</v>
      </c>
      <c r="Y23" s="22" t="s">
        <v>66</v>
      </c>
      <c r="Z23" s="22" t="s">
        <v>359</v>
      </c>
      <c r="AA23" s="22" t="s">
        <v>360</v>
      </c>
      <c r="AB23" s="22" t="s">
        <v>361</v>
      </c>
      <c r="AC23" s="26" t="s">
        <v>362</v>
      </c>
    </row>
    <row r="24" ht="39.75" customHeight="1">
      <c r="A24" s="22">
        <f t="shared" si="3"/>
        <v>23</v>
      </c>
      <c r="B24" s="23" t="s">
        <v>363</v>
      </c>
      <c r="C24" s="22" t="s">
        <v>364</v>
      </c>
      <c r="D24" s="22" t="s">
        <v>365</v>
      </c>
      <c r="E24" s="22">
        <v>2025.0</v>
      </c>
      <c r="F24" s="22" t="s">
        <v>82</v>
      </c>
      <c r="G24" s="22" t="s">
        <v>366</v>
      </c>
      <c r="H24" s="22" t="s">
        <v>61</v>
      </c>
      <c r="I24" s="24" t="s">
        <v>367</v>
      </c>
      <c r="J24" s="22" t="s">
        <v>354</v>
      </c>
      <c r="K24" s="22" t="s">
        <v>82</v>
      </c>
      <c r="L24" s="22" t="s">
        <v>82</v>
      </c>
      <c r="M24" s="22" t="s">
        <v>66</v>
      </c>
      <c r="N24" s="22" t="s">
        <v>368</v>
      </c>
      <c r="O24" s="22" t="s">
        <v>369</v>
      </c>
      <c r="P24" s="22" t="s">
        <v>66</v>
      </c>
      <c r="Q24" s="22" t="s">
        <v>370</v>
      </c>
      <c r="R24" s="22" t="s">
        <v>371</v>
      </c>
      <c r="S24" s="22" t="s">
        <v>66</v>
      </c>
      <c r="T24" s="22" t="s">
        <v>372</v>
      </c>
      <c r="U24" s="22" t="s">
        <v>373</v>
      </c>
      <c r="V24" s="22" t="s">
        <v>66</v>
      </c>
      <c r="W24" s="22" t="s">
        <v>374</v>
      </c>
      <c r="X24" s="22" t="s">
        <v>375</v>
      </c>
      <c r="Y24" s="22" t="s">
        <v>66</v>
      </c>
      <c r="Z24" s="22" t="s">
        <v>376</v>
      </c>
      <c r="AA24" s="22" t="s">
        <v>377</v>
      </c>
      <c r="AB24" s="22" t="s">
        <v>378</v>
      </c>
      <c r="AC24" s="26" t="s">
        <v>362</v>
      </c>
    </row>
    <row r="25" ht="39.75" customHeight="1">
      <c r="A25" s="22">
        <f t="shared" si="3"/>
        <v>24</v>
      </c>
      <c r="B25" s="23" t="s">
        <v>379</v>
      </c>
      <c r="C25" s="22" t="s">
        <v>380</v>
      </c>
      <c r="D25" s="22" t="s">
        <v>381</v>
      </c>
      <c r="E25" s="22">
        <v>2024.0</v>
      </c>
      <c r="F25" s="22">
        <v>2024.0</v>
      </c>
      <c r="G25" s="22" t="s">
        <v>382</v>
      </c>
      <c r="H25" s="22" t="s">
        <v>61</v>
      </c>
      <c r="I25" s="24" t="s">
        <v>383</v>
      </c>
      <c r="J25" s="22" t="s">
        <v>82</v>
      </c>
      <c r="K25" s="22" t="s">
        <v>82</v>
      </c>
      <c r="L25" s="22" t="s">
        <v>82</v>
      </c>
      <c r="M25" s="22" t="s">
        <v>102</v>
      </c>
      <c r="N25" s="22" t="s">
        <v>82</v>
      </c>
      <c r="O25" s="22" t="s">
        <v>82</v>
      </c>
      <c r="P25" s="22" t="s">
        <v>102</v>
      </c>
      <c r="Q25" s="22" t="s">
        <v>82</v>
      </c>
      <c r="R25" s="22" t="s">
        <v>82</v>
      </c>
      <c r="S25" s="22" t="s">
        <v>66</v>
      </c>
      <c r="T25" s="22" t="s">
        <v>384</v>
      </c>
      <c r="U25" s="22" t="s">
        <v>385</v>
      </c>
      <c r="V25" s="22" t="s">
        <v>102</v>
      </c>
      <c r="W25" s="22" t="s">
        <v>82</v>
      </c>
      <c r="X25" s="22" t="s">
        <v>82</v>
      </c>
      <c r="Y25" s="22" t="s">
        <v>66</v>
      </c>
      <c r="Z25" s="22" t="s">
        <v>386</v>
      </c>
      <c r="AA25" s="22" t="s">
        <v>387</v>
      </c>
      <c r="AB25" s="22" t="s">
        <v>388</v>
      </c>
      <c r="AC25" s="27" t="s">
        <v>389</v>
      </c>
    </row>
    <row r="26" ht="39.75" customHeight="1">
      <c r="A26" s="22">
        <f t="shared" si="3"/>
        <v>25</v>
      </c>
      <c r="B26" s="23" t="s">
        <v>390</v>
      </c>
      <c r="C26" s="22" t="s">
        <v>391</v>
      </c>
      <c r="D26" s="22" t="s">
        <v>392</v>
      </c>
      <c r="E26" s="22">
        <v>2024.0</v>
      </c>
      <c r="F26" s="22" t="s">
        <v>82</v>
      </c>
      <c r="G26" s="22" t="s">
        <v>393</v>
      </c>
      <c r="H26" s="22" t="s">
        <v>61</v>
      </c>
      <c r="I26" s="24" t="s">
        <v>394</v>
      </c>
      <c r="J26" s="22" t="s">
        <v>395</v>
      </c>
      <c r="K26" s="22" t="s">
        <v>396</v>
      </c>
      <c r="L26" s="22" t="s">
        <v>82</v>
      </c>
      <c r="M26" s="22" t="s">
        <v>102</v>
      </c>
      <c r="N26" s="22" t="s">
        <v>82</v>
      </c>
      <c r="O26" s="22" t="s">
        <v>82</v>
      </c>
      <c r="P26" s="22" t="s">
        <v>102</v>
      </c>
      <c r="Q26" s="22" t="s">
        <v>82</v>
      </c>
      <c r="R26" s="22" t="s">
        <v>82</v>
      </c>
      <c r="S26" s="22" t="s">
        <v>102</v>
      </c>
      <c r="T26" s="22" t="s">
        <v>82</v>
      </c>
      <c r="U26" s="22" t="s">
        <v>82</v>
      </c>
      <c r="V26" s="22" t="s">
        <v>66</v>
      </c>
      <c r="W26" s="22" t="s">
        <v>397</v>
      </c>
      <c r="X26" s="22" t="s">
        <v>398</v>
      </c>
      <c r="Y26" s="22" t="s">
        <v>66</v>
      </c>
      <c r="Z26" s="22" t="s">
        <v>399</v>
      </c>
      <c r="AA26" s="22" t="s">
        <v>400</v>
      </c>
      <c r="AB26" s="22" t="s">
        <v>401</v>
      </c>
      <c r="AC26" s="27" t="s">
        <v>402</v>
      </c>
    </row>
    <row r="27" ht="39.75" customHeight="1">
      <c r="A27" s="22">
        <f t="shared" si="3"/>
        <v>26</v>
      </c>
      <c r="B27" s="23" t="s">
        <v>403</v>
      </c>
      <c r="C27" s="22" t="s">
        <v>404</v>
      </c>
      <c r="D27" s="22" t="s">
        <v>405</v>
      </c>
      <c r="E27" s="22">
        <v>2025.0</v>
      </c>
      <c r="F27" s="22" t="s">
        <v>82</v>
      </c>
      <c r="G27" s="22" t="s">
        <v>406</v>
      </c>
      <c r="H27" s="22" t="s">
        <v>61</v>
      </c>
      <c r="I27" s="24" t="s">
        <v>407</v>
      </c>
      <c r="J27" s="22" t="s">
        <v>408</v>
      </c>
      <c r="K27" s="22" t="s">
        <v>82</v>
      </c>
      <c r="L27" s="22" t="s">
        <v>82</v>
      </c>
      <c r="M27" s="22" t="s">
        <v>66</v>
      </c>
      <c r="N27" s="22" t="s">
        <v>409</v>
      </c>
      <c r="O27" s="22" t="s">
        <v>410</v>
      </c>
      <c r="P27" s="22" t="s">
        <v>66</v>
      </c>
      <c r="Q27" s="22" t="s">
        <v>411</v>
      </c>
      <c r="R27" s="22" t="s">
        <v>412</v>
      </c>
      <c r="S27" s="22" t="s">
        <v>66</v>
      </c>
      <c r="T27" s="22" t="s">
        <v>413</v>
      </c>
      <c r="U27" s="22" t="s">
        <v>414</v>
      </c>
      <c r="V27" s="22" t="s">
        <v>66</v>
      </c>
      <c r="W27" s="22" t="s">
        <v>415</v>
      </c>
      <c r="X27" s="22" t="s">
        <v>416</v>
      </c>
      <c r="Y27" s="22" t="s">
        <v>66</v>
      </c>
      <c r="Z27" s="22" t="s">
        <v>417</v>
      </c>
      <c r="AA27" s="22" t="s">
        <v>418</v>
      </c>
      <c r="AB27" s="22" t="s">
        <v>419</v>
      </c>
      <c r="AC27" s="27" t="s">
        <v>420</v>
      </c>
    </row>
    <row r="28" ht="39.75" customHeight="1">
      <c r="A28" s="22">
        <f t="shared" si="3"/>
        <v>27</v>
      </c>
      <c r="B28" s="23" t="s">
        <v>421</v>
      </c>
      <c r="C28" s="22" t="s">
        <v>422</v>
      </c>
      <c r="D28" s="22" t="s">
        <v>423</v>
      </c>
      <c r="E28" s="22">
        <v>2024.0</v>
      </c>
      <c r="F28" s="22" t="s">
        <v>424</v>
      </c>
      <c r="G28" s="22" t="s">
        <v>425</v>
      </c>
      <c r="H28" s="22" t="s">
        <v>61</v>
      </c>
      <c r="I28" s="24" t="s">
        <v>426</v>
      </c>
      <c r="J28" s="22" t="s">
        <v>427</v>
      </c>
      <c r="K28" s="22" t="s">
        <v>199</v>
      </c>
      <c r="L28" s="22" t="s">
        <v>428</v>
      </c>
      <c r="M28" s="22" t="s">
        <v>66</v>
      </c>
      <c r="N28" s="22" t="s">
        <v>429</v>
      </c>
      <c r="O28" s="22" t="s">
        <v>430</v>
      </c>
      <c r="P28" s="22" t="s">
        <v>102</v>
      </c>
      <c r="Q28" s="22" t="s">
        <v>431</v>
      </c>
      <c r="R28" s="22" t="s">
        <v>432</v>
      </c>
      <c r="S28" s="22" t="s">
        <v>66</v>
      </c>
      <c r="T28" s="22" t="s">
        <v>433</v>
      </c>
      <c r="U28" s="22" t="s">
        <v>434</v>
      </c>
      <c r="V28" s="22" t="s">
        <v>66</v>
      </c>
      <c r="W28" s="22" t="s">
        <v>435</v>
      </c>
      <c r="X28" s="22" t="s">
        <v>436</v>
      </c>
      <c r="Y28" s="22" t="s">
        <v>66</v>
      </c>
      <c r="Z28" s="22" t="s">
        <v>437</v>
      </c>
      <c r="AA28" s="22" t="s">
        <v>438</v>
      </c>
      <c r="AB28" s="22" t="s">
        <v>439</v>
      </c>
      <c r="AC28" s="27" t="s">
        <v>440</v>
      </c>
    </row>
    <row r="29" ht="39.75" customHeight="1">
      <c r="A29" s="22">
        <f t="shared" si="3"/>
        <v>28</v>
      </c>
      <c r="B29" s="23" t="s">
        <v>441</v>
      </c>
      <c r="C29" s="22" t="s">
        <v>442</v>
      </c>
      <c r="D29" s="22" t="s">
        <v>443</v>
      </c>
      <c r="E29" s="22">
        <v>2023.0</v>
      </c>
      <c r="F29" s="22" t="s">
        <v>82</v>
      </c>
      <c r="G29" s="22" t="s">
        <v>444</v>
      </c>
      <c r="H29" s="22" t="s">
        <v>61</v>
      </c>
      <c r="I29" s="24" t="s">
        <v>445</v>
      </c>
      <c r="J29" s="22" t="s">
        <v>446</v>
      </c>
      <c r="K29" s="22" t="s">
        <v>199</v>
      </c>
      <c r="L29" s="22" t="s">
        <v>82</v>
      </c>
      <c r="M29" s="22" t="s">
        <v>102</v>
      </c>
      <c r="N29" s="22" t="s">
        <v>82</v>
      </c>
      <c r="O29" s="22" t="s">
        <v>82</v>
      </c>
      <c r="P29" s="22" t="s">
        <v>102</v>
      </c>
      <c r="Q29" s="22" t="s">
        <v>82</v>
      </c>
      <c r="R29" s="22" t="s">
        <v>82</v>
      </c>
      <c r="S29" s="22" t="s">
        <v>102</v>
      </c>
      <c r="T29" s="22" t="s">
        <v>82</v>
      </c>
      <c r="U29" s="22" t="s">
        <v>82</v>
      </c>
      <c r="V29" s="22" t="s">
        <v>66</v>
      </c>
      <c r="W29" s="22" t="s">
        <v>447</v>
      </c>
      <c r="X29" s="22" t="s">
        <v>448</v>
      </c>
      <c r="Y29" s="22" t="s">
        <v>66</v>
      </c>
      <c r="Z29" s="22" t="s">
        <v>449</v>
      </c>
      <c r="AA29" s="22" t="s">
        <v>450</v>
      </c>
      <c r="AB29" s="22" t="s">
        <v>451</v>
      </c>
      <c r="AC29" s="26" t="s">
        <v>452</v>
      </c>
    </row>
    <row r="30" ht="39.75" customHeight="1">
      <c r="A30" s="22">
        <f t="shared" si="3"/>
        <v>29</v>
      </c>
      <c r="B30" s="23" t="s">
        <v>453</v>
      </c>
      <c r="C30" s="22" t="s">
        <v>454</v>
      </c>
      <c r="D30" s="22" t="s">
        <v>455</v>
      </c>
      <c r="E30" s="22">
        <v>2025.0</v>
      </c>
      <c r="F30" s="22">
        <v>2025.0</v>
      </c>
      <c r="G30" s="22" t="s">
        <v>456</v>
      </c>
      <c r="H30" s="22" t="s">
        <v>61</v>
      </c>
      <c r="I30" s="24" t="s">
        <v>457</v>
      </c>
      <c r="J30" s="22" t="s">
        <v>458</v>
      </c>
      <c r="K30" s="22" t="s">
        <v>82</v>
      </c>
      <c r="L30" s="22" t="s">
        <v>82</v>
      </c>
      <c r="M30" s="22" t="s">
        <v>66</v>
      </c>
      <c r="N30" s="22" t="s">
        <v>459</v>
      </c>
      <c r="O30" s="22" t="s">
        <v>460</v>
      </c>
      <c r="P30" s="22" t="s">
        <v>66</v>
      </c>
      <c r="Q30" s="22" t="s">
        <v>461</v>
      </c>
      <c r="R30" s="22" t="s">
        <v>462</v>
      </c>
      <c r="S30" s="22" t="s">
        <v>66</v>
      </c>
      <c r="T30" s="22" t="s">
        <v>463</v>
      </c>
      <c r="U30" s="22" t="s">
        <v>464</v>
      </c>
      <c r="V30" s="22" t="s">
        <v>102</v>
      </c>
      <c r="W30" s="22" t="s">
        <v>82</v>
      </c>
      <c r="X30" s="22" t="s">
        <v>82</v>
      </c>
      <c r="Y30" s="25" t="s">
        <v>102</v>
      </c>
      <c r="Z30" s="28" t="s">
        <v>82</v>
      </c>
      <c r="AA30" s="25" t="s">
        <v>82</v>
      </c>
      <c r="AB30" s="22" t="s">
        <v>465</v>
      </c>
      <c r="AC30" s="27" t="s">
        <v>466</v>
      </c>
    </row>
    <row r="31" ht="39.75" customHeight="1">
      <c r="A31" s="22">
        <f t="shared" si="3"/>
        <v>30</v>
      </c>
      <c r="B31" s="23" t="s">
        <v>467</v>
      </c>
      <c r="C31" s="22" t="s">
        <v>468</v>
      </c>
      <c r="D31" s="22" t="s">
        <v>469</v>
      </c>
      <c r="E31" s="22">
        <v>2025.0</v>
      </c>
      <c r="F31" s="22" t="s">
        <v>82</v>
      </c>
      <c r="G31" s="22" t="s">
        <v>470</v>
      </c>
      <c r="H31" s="22" t="s">
        <v>61</v>
      </c>
      <c r="I31" s="24" t="s">
        <v>471</v>
      </c>
      <c r="J31" s="22" t="s">
        <v>472</v>
      </c>
      <c r="K31" s="22" t="s">
        <v>82</v>
      </c>
      <c r="L31" s="22" t="s">
        <v>82</v>
      </c>
      <c r="M31" s="22" t="s">
        <v>102</v>
      </c>
      <c r="N31" s="22" t="s">
        <v>82</v>
      </c>
      <c r="O31" s="22" t="s">
        <v>82</v>
      </c>
      <c r="P31" s="22" t="s">
        <v>66</v>
      </c>
      <c r="Q31" s="22" t="s">
        <v>473</v>
      </c>
      <c r="R31" s="22" t="s">
        <v>474</v>
      </c>
      <c r="S31" s="22" t="s">
        <v>66</v>
      </c>
      <c r="T31" s="22" t="s">
        <v>475</v>
      </c>
      <c r="U31" s="22" t="s">
        <v>476</v>
      </c>
      <c r="V31" s="22" t="s">
        <v>102</v>
      </c>
      <c r="W31" s="22" t="s">
        <v>82</v>
      </c>
      <c r="X31" s="22" t="s">
        <v>82</v>
      </c>
      <c r="Y31" s="22" t="s">
        <v>66</v>
      </c>
      <c r="Z31" s="22" t="s">
        <v>477</v>
      </c>
      <c r="AA31" s="22" t="s">
        <v>478</v>
      </c>
      <c r="AB31" s="22" t="s">
        <v>479</v>
      </c>
      <c r="AC31" s="26" t="s">
        <v>480</v>
      </c>
    </row>
    <row r="32" ht="39.75" customHeight="1">
      <c r="A32" s="22">
        <f t="shared" si="3"/>
        <v>31</v>
      </c>
      <c r="B32" s="23" t="s">
        <v>481</v>
      </c>
      <c r="C32" s="22" t="s">
        <v>482</v>
      </c>
      <c r="D32" s="22" t="s">
        <v>483</v>
      </c>
      <c r="E32" s="22">
        <v>2025.0</v>
      </c>
      <c r="F32" s="22" t="s">
        <v>484</v>
      </c>
      <c r="G32" s="22" t="s">
        <v>485</v>
      </c>
      <c r="H32" s="22" t="s">
        <v>61</v>
      </c>
      <c r="I32" s="24" t="s">
        <v>486</v>
      </c>
      <c r="J32" s="22" t="s">
        <v>82</v>
      </c>
      <c r="K32" s="22" t="s">
        <v>82</v>
      </c>
      <c r="L32" s="22" t="s">
        <v>487</v>
      </c>
      <c r="M32" s="22" t="s">
        <v>66</v>
      </c>
      <c r="N32" s="22" t="s">
        <v>488</v>
      </c>
      <c r="O32" s="22" t="s">
        <v>489</v>
      </c>
      <c r="P32" s="22" t="s">
        <v>66</v>
      </c>
      <c r="Q32" s="22" t="s">
        <v>490</v>
      </c>
      <c r="R32" s="22" t="s">
        <v>491</v>
      </c>
      <c r="S32" s="22" t="s">
        <v>66</v>
      </c>
      <c r="T32" s="22" t="s">
        <v>492</v>
      </c>
      <c r="U32" s="22" t="s">
        <v>493</v>
      </c>
      <c r="V32" s="22" t="s">
        <v>102</v>
      </c>
      <c r="W32" s="22" t="s">
        <v>82</v>
      </c>
      <c r="X32" s="22" t="s">
        <v>82</v>
      </c>
      <c r="Y32" s="22" t="s">
        <v>66</v>
      </c>
      <c r="Z32" s="22" t="s">
        <v>494</v>
      </c>
      <c r="AA32" s="22" t="s">
        <v>495</v>
      </c>
      <c r="AB32" s="22" t="s">
        <v>496</v>
      </c>
      <c r="AC32" s="26" t="s">
        <v>497</v>
      </c>
    </row>
    <row r="33" ht="39.75" customHeight="1">
      <c r="A33" s="22">
        <f t="shared" si="3"/>
        <v>32</v>
      </c>
      <c r="B33" s="23" t="s">
        <v>498</v>
      </c>
      <c r="C33" s="22" t="s">
        <v>499</v>
      </c>
      <c r="D33" s="22" t="s">
        <v>500</v>
      </c>
      <c r="E33" s="22">
        <v>2025.0</v>
      </c>
      <c r="F33" s="22">
        <v>2025.0</v>
      </c>
      <c r="G33" s="22" t="s">
        <v>501</v>
      </c>
      <c r="H33" s="22" t="s">
        <v>61</v>
      </c>
      <c r="I33" s="24" t="s">
        <v>502</v>
      </c>
      <c r="J33" s="22" t="s">
        <v>503</v>
      </c>
      <c r="K33" s="22" t="s">
        <v>82</v>
      </c>
      <c r="L33" s="22" t="s">
        <v>82</v>
      </c>
      <c r="M33" s="22" t="s">
        <v>66</v>
      </c>
      <c r="N33" s="22" t="s">
        <v>504</v>
      </c>
      <c r="O33" s="22" t="s">
        <v>505</v>
      </c>
      <c r="P33" s="22" t="s">
        <v>66</v>
      </c>
      <c r="Q33" s="22" t="s">
        <v>506</v>
      </c>
      <c r="R33" s="22" t="s">
        <v>507</v>
      </c>
      <c r="S33" s="22" t="s">
        <v>66</v>
      </c>
      <c r="T33" s="22" t="s">
        <v>508</v>
      </c>
      <c r="U33" s="22" t="s">
        <v>509</v>
      </c>
      <c r="V33" s="22" t="s">
        <v>102</v>
      </c>
      <c r="W33" s="22" t="s">
        <v>82</v>
      </c>
      <c r="X33" s="22" t="s">
        <v>82</v>
      </c>
      <c r="Y33" s="22" t="s">
        <v>66</v>
      </c>
      <c r="Z33" s="22" t="s">
        <v>510</v>
      </c>
      <c r="AA33" s="22" t="s">
        <v>511</v>
      </c>
      <c r="AB33" s="22" t="s">
        <v>512</v>
      </c>
      <c r="AC33" s="26" t="s">
        <v>513</v>
      </c>
    </row>
    <row r="34" ht="39.75" customHeight="1">
      <c r="A34" s="22">
        <f t="shared" si="3"/>
        <v>33</v>
      </c>
      <c r="B34" s="23" t="s">
        <v>514</v>
      </c>
      <c r="C34" s="22" t="s">
        <v>515</v>
      </c>
      <c r="D34" s="22" t="s">
        <v>516</v>
      </c>
      <c r="E34" s="22">
        <v>2022.0</v>
      </c>
      <c r="F34" s="22" t="s">
        <v>82</v>
      </c>
      <c r="G34" s="22" t="s">
        <v>517</v>
      </c>
      <c r="H34" s="22" t="s">
        <v>61</v>
      </c>
      <c r="I34" s="24" t="s">
        <v>518</v>
      </c>
      <c r="J34" s="22" t="s">
        <v>519</v>
      </c>
      <c r="K34" s="22" t="s">
        <v>199</v>
      </c>
      <c r="L34" s="22" t="s">
        <v>520</v>
      </c>
      <c r="M34" s="22" t="s">
        <v>102</v>
      </c>
      <c r="N34" s="22" t="s">
        <v>82</v>
      </c>
      <c r="O34" s="22" t="s">
        <v>82</v>
      </c>
      <c r="P34" s="22" t="s">
        <v>102</v>
      </c>
      <c r="Q34" s="22" t="s">
        <v>82</v>
      </c>
      <c r="R34" s="22" t="s">
        <v>82</v>
      </c>
      <c r="S34" s="22" t="s">
        <v>66</v>
      </c>
      <c r="T34" s="25" t="s">
        <v>521</v>
      </c>
      <c r="U34" s="22" t="s">
        <v>522</v>
      </c>
      <c r="V34" s="22" t="s">
        <v>66</v>
      </c>
      <c r="W34" s="22" t="s">
        <v>523</v>
      </c>
      <c r="X34" s="22" t="s">
        <v>524</v>
      </c>
      <c r="Y34" s="22" t="s">
        <v>66</v>
      </c>
      <c r="Z34" s="25" t="s">
        <v>525</v>
      </c>
      <c r="AA34" s="22" t="s">
        <v>526</v>
      </c>
      <c r="AB34" s="22" t="s">
        <v>527</v>
      </c>
      <c r="AC34" s="26" t="s">
        <v>528</v>
      </c>
    </row>
    <row r="35" ht="39.75" customHeight="1">
      <c r="A35" s="22">
        <f t="shared" si="3"/>
        <v>34</v>
      </c>
      <c r="B35" s="23" t="s">
        <v>529</v>
      </c>
      <c r="C35" s="22" t="s">
        <v>530</v>
      </c>
      <c r="D35" s="22" t="s">
        <v>531</v>
      </c>
      <c r="E35" s="22">
        <v>2025.0</v>
      </c>
      <c r="F35" s="22">
        <v>2025.0</v>
      </c>
      <c r="G35" s="22" t="s">
        <v>532</v>
      </c>
      <c r="H35" s="22" t="s">
        <v>61</v>
      </c>
      <c r="I35" s="24" t="s">
        <v>533</v>
      </c>
      <c r="J35" s="22" t="s">
        <v>519</v>
      </c>
      <c r="K35" s="22" t="s">
        <v>82</v>
      </c>
      <c r="L35" s="22" t="s">
        <v>82</v>
      </c>
      <c r="M35" s="22" t="s">
        <v>102</v>
      </c>
      <c r="N35" s="22" t="s">
        <v>82</v>
      </c>
      <c r="O35" s="22" t="s">
        <v>82</v>
      </c>
      <c r="P35" s="22" t="s">
        <v>102</v>
      </c>
      <c r="Q35" s="22" t="s">
        <v>82</v>
      </c>
      <c r="R35" s="22" t="s">
        <v>82</v>
      </c>
      <c r="S35" s="22" t="s">
        <v>66</v>
      </c>
      <c r="T35" s="22" t="s">
        <v>534</v>
      </c>
      <c r="U35" s="22" t="s">
        <v>535</v>
      </c>
      <c r="V35" s="22" t="s">
        <v>102</v>
      </c>
      <c r="W35" s="22" t="s">
        <v>82</v>
      </c>
      <c r="X35" s="22" t="s">
        <v>82</v>
      </c>
      <c r="Y35" s="22" t="s">
        <v>66</v>
      </c>
      <c r="Z35" s="25" t="s">
        <v>536</v>
      </c>
      <c r="AA35" s="22" t="s">
        <v>537</v>
      </c>
      <c r="AB35" s="22" t="s">
        <v>538</v>
      </c>
      <c r="AC35" s="26" t="s">
        <v>539</v>
      </c>
    </row>
    <row r="36" ht="39.75" customHeight="1">
      <c r="A36" s="22">
        <f t="shared" si="3"/>
        <v>35</v>
      </c>
      <c r="B36" s="23" t="s">
        <v>540</v>
      </c>
      <c r="C36" s="22" t="s">
        <v>541</v>
      </c>
      <c r="D36" s="22" t="s">
        <v>542</v>
      </c>
      <c r="E36" s="22">
        <v>2025.0</v>
      </c>
      <c r="F36" s="22">
        <v>2025.0</v>
      </c>
      <c r="G36" s="22" t="s">
        <v>543</v>
      </c>
      <c r="H36" s="22" t="s">
        <v>61</v>
      </c>
      <c r="I36" s="24" t="s">
        <v>544</v>
      </c>
      <c r="J36" s="22" t="s">
        <v>82</v>
      </c>
      <c r="K36" s="22" t="s">
        <v>82</v>
      </c>
      <c r="L36" s="22" t="s">
        <v>82</v>
      </c>
      <c r="M36" s="22" t="s">
        <v>66</v>
      </c>
      <c r="N36" s="22" t="s">
        <v>545</v>
      </c>
      <c r="O36" s="22" t="s">
        <v>546</v>
      </c>
      <c r="P36" s="22" t="s">
        <v>66</v>
      </c>
      <c r="Q36" s="22" t="s">
        <v>547</v>
      </c>
      <c r="R36" s="22" t="s">
        <v>548</v>
      </c>
      <c r="S36" s="22" t="s">
        <v>66</v>
      </c>
      <c r="T36" s="22" t="s">
        <v>549</v>
      </c>
      <c r="U36" s="22" t="s">
        <v>550</v>
      </c>
      <c r="V36" s="22" t="s">
        <v>102</v>
      </c>
      <c r="W36" s="22" t="s">
        <v>82</v>
      </c>
      <c r="X36" s="22" t="s">
        <v>82</v>
      </c>
      <c r="Y36" s="22" t="s">
        <v>66</v>
      </c>
      <c r="Z36" s="25" t="s">
        <v>551</v>
      </c>
      <c r="AA36" s="22" t="s">
        <v>552</v>
      </c>
      <c r="AB36" s="22" t="s">
        <v>553</v>
      </c>
      <c r="AC36" s="27" t="s">
        <v>554</v>
      </c>
    </row>
    <row r="37" ht="39.75" customHeight="1">
      <c r="A37" s="22">
        <f t="shared" si="3"/>
        <v>36</v>
      </c>
      <c r="B37" s="23" t="s">
        <v>555</v>
      </c>
      <c r="C37" s="22" t="s">
        <v>556</v>
      </c>
      <c r="D37" s="22" t="s">
        <v>557</v>
      </c>
      <c r="E37" s="22">
        <v>2019.0</v>
      </c>
      <c r="F37" s="22" t="s">
        <v>82</v>
      </c>
      <c r="G37" s="22" t="s">
        <v>558</v>
      </c>
      <c r="H37" s="22" t="s">
        <v>61</v>
      </c>
      <c r="I37" s="24" t="s">
        <v>559</v>
      </c>
      <c r="J37" s="22" t="s">
        <v>82</v>
      </c>
      <c r="K37" s="22" t="s">
        <v>199</v>
      </c>
      <c r="L37" s="22" t="s">
        <v>82</v>
      </c>
      <c r="M37" s="22" t="s">
        <v>102</v>
      </c>
      <c r="N37" s="22" t="s">
        <v>82</v>
      </c>
      <c r="O37" s="22" t="s">
        <v>82</v>
      </c>
      <c r="P37" s="22" t="s">
        <v>102</v>
      </c>
      <c r="Q37" s="22" t="s">
        <v>82</v>
      </c>
      <c r="R37" s="22" t="s">
        <v>82</v>
      </c>
      <c r="S37" s="22" t="s">
        <v>66</v>
      </c>
      <c r="T37" s="22" t="s">
        <v>560</v>
      </c>
      <c r="U37" s="22" t="s">
        <v>561</v>
      </c>
      <c r="V37" s="22" t="s">
        <v>66</v>
      </c>
      <c r="W37" s="22" t="s">
        <v>562</v>
      </c>
      <c r="X37" s="22" t="s">
        <v>563</v>
      </c>
      <c r="Y37" s="22" t="s">
        <v>66</v>
      </c>
      <c r="Z37" s="22" t="s">
        <v>564</v>
      </c>
      <c r="AA37" s="22" t="s">
        <v>565</v>
      </c>
      <c r="AB37" s="22" t="s">
        <v>566</v>
      </c>
      <c r="AC37" s="27" t="s">
        <v>567</v>
      </c>
    </row>
    <row r="38" ht="39.75" customHeight="1">
      <c r="A38" s="22">
        <f t="shared" si="3"/>
        <v>37</v>
      </c>
      <c r="B38" s="23" t="s">
        <v>568</v>
      </c>
      <c r="C38" s="22" t="s">
        <v>569</v>
      </c>
      <c r="D38" s="22" t="s">
        <v>570</v>
      </c>
      <c r="E38" s="22">
        <v>2022.0</v>
      </c>
      <c r="F38" s="22" t="s">
        <v>82</v>
      </c>
      <c r="G38" s="22" t="s">
        <v>571</v>
      </c>
      <c r="H38" s="22" t="s">
        <v>61</v>
      </c>
      <c r="I38" s="24" t="s">
        <v>572</v>
      </c>
      <c r="J38" s="22" t="s">
        <v>573</v>
      </c>
      <c r="K38" s="22" t="s">
        <v>199</v>
      </c>
      <c r="L38" s="22" t="s">
        <v>82</v>
      </c>
      <c r="M38" s="22" t="s">
        <v>66</v>
      </c>
      <c r="N38" s="22" t="s">
        <v>574</v>
      </c>
      <c r="O38" s="22" t="s">
        <v>575</v>
      </c>
      <c r="P38" s="22" t="s">
        <v>66</v>
      </c>
      <c r="Q38" s="22" t="s">
        <v>576</v>
      </c>
      <c r="R38" s="22" t="s">
        <v>577</v>
      </c>
      <c r="S38" s="22" t="s">
        <v>66</v>
      </c>
      <c r="T38" s="22" t="s">
        <v>578</v>
      </c>
      <c r="U38" s="22" t="s">
        <v>579</v>
      </c>
      <c r="V38" s="22" t="s">
        <v>66</v>
      </c>
      <c r="W38" s="22" t="s">
        <v>580</v>
      </c>
      <c r="X38" s="22" t="s">
        <v>581</v>
      </c>
      <c r="Y38" s="22" t="s">
        <v>66</v>
      </c>
      <c r="Z38" s="22" t="s">
        <v>582</v>
      </c>
      <c r="AA38" s="22" t="s">
        <v>583</v>
      </c>
      <c r="AB38" s="22" t="s">
        <v>584</v>
      </c>
      <c r="AC38" s="26" t="s">
        <v>585</v>
      </c>
    </row>
    <row r="39" ht="39.75" customHeight="1">
      <c r="A39" s="22">
        <f t="shared" si="3"/>
        <v>38</v>
      </c>
      <c r="B39" s="23" t="s">
        <v>586</v>
      </c>
      <c r="C39" s="22" t="s">
        <v>587</v>
      </c>
      <c r="D39" s="22" t="s">
        <v>588</v>
      </c>
      <c r="E39" s="22">
        <v>2025.0</v>
      </c>
      <c r="F39" s="22" t="s">
        <v>82</v>
      </c>
      <c r="G39" s="22" t="s">
        <v>589</v>
      </c>
      <c r="H39" s="22" t="s">
        <v>61</v>
      </c>
      <c r="I39" s="24" t="s">
        <v>590</v>
      </c>
      <c r="J39" s="22" t="s">
        <v>82</v>
      </c>
      <c r="K39" s="22" t="s">
        <v>82</v>
      </c>
      <c r="L39" s="22" t="s">
        <v>82</v>
      </c>
      <c r="M39" s="22" t="s">
        <v>102</v>
      </c>
      <c r="N39" s="22" t="s">
        <v>82</v>
      </c>
      <c r="O39" s="22" t="s">
        <v>82</v>
      </c>
      <c r="P39" s="22" t="s">
        <v>102</v>
      </c>
      <c r="Q39" s="22" t="s">
        <v>82</v>
      </c>
      <c r="R39" s="22" t="s">
        <v>82</v>
      </c>
      <c r="S39" s="22" t="s">
        <v>102</v>
      </c>
      <c r="T39" s="22" t="s">
        <v>82</v>
      </c>
      <c r="U39" s="22" t="s">
        <v>82</v>
      </c>
      <c r="V39" s="22" t="s">
        <v>102</v>
      </c>
      <c r="W39" s="22" t="s">
        <v>82</v>
      </c>
      <c r="X39" s="22" t="s">
        <v>82</v>
      </c>
      <c r="Y39" s="22" t="s">
        <v>102</v>
      </c>
      <c r="Z39" s="22" t="s">
        <v>82</v>
      </c>
      <c r="AA39" s="22" t="s">
        <v>82</v>
      </c>
      <c r="AB39" s="22" t="s">
        <v>591</v>
      </c>
      <c r="AC39" s="27" t="s">
        <v>592</v>
      </c>
    </row>
    <row r="40" ht="39.75" customHeight="1">
      <c r="A40" s="22">
        <f t="shared" si="3"/>
        <v>39</v>
      </c>
      <c r="B40" s="23" t="s">
        <v>593</v>
      </c>
      <c r="C40" s="22" t="s">
        <v>594</v>
      </c>
      <c r="D40" s="22" t="s">
        <v>595</v>
      </c>
      <c r="E40" s="22">
        <v>2025.0</v>
      </c>
      <c r="F40" s="22" t="s">
        <v>596</v>
      </c>
      <c r="G40" s="22" t="s">
        <v>597</v>
      </c>
      <c r="H40" s="22" t="s">
        <v>61</v>
      </c>
      <c r="I40" s="24" t="s">
        <v>598</v>
      </c>
      <c r="J40" s="22" t="s">
        <v>599</v>
      </c>
      <c r="K40" s="22" t="s">
        <v>82</v>
      </c>
      <c r="L40" s="22" t="s">
        <v>82</v>
      </c>
      <c r="M40" s="22" t="s">
        <v>66</v>
      </c>
      <c r="N40" s="22" t="s">
        <v>600</v>
      </c>
      <c r="O40" s="22" t="s">
        <v>601</v>
      </c>
      <c r="P40" s="22" t="s">
        <v>66</v>
      </c>
      <c r="Q40" s="22" t="s">
        <v>602</v>
      </c>
      <c r="R40" s="22" t="s">
        <v>603</v>
      </c>
      <c r="S40" s="22" t="s">
        <v>66</v>
      </c>
      <c r="T40" s="22" t="s">
        <v>604</v>
      </c>
      <c r="U40" s="22" t="s">
        <v>605</v>
      </c>
      <c r="V40" s="22" t="s">
        <v>66</v>
      </c>
      <c r="W40" s="22" t="s">
        <v>606</v>
      </c>
      <c r="X40" s="22" t="s">
        <v>607</v>
      </c>
      <c r="Y40" s="22" t="s">
        <v>66</v>
      </c>
      <c r="Z40" s="22" t="s">
        <v>608</v>
      </c>
      <c r="AA40" s="22" t="s">
        <v>609</v>
      </c>
      <c r="AB40" s="22" t="s">
        <v>610</v>
      </c>
      <c r="AC40" s="27" t="s">
        <v>611</v>
      </c>
    </row>
    <row r="41" ht="39.75" customHeight="1">
      <c r="A41" s="22">
        <f t="shared" si="3"/>
        <v>40</v>
      </c>
      <c r="B41" s="23" t="s">
        <v>612</v>
      </c>
      <c r="C41" s="22" t="s">
        <v>228</v>
      </c>
      <c r="D41" s="22" t="s">
        <v>613</v>
      </c>
      <c r="E41" s="22">
        <v>2025.0</v>
      </c>
      <c r="F41" s="22" t="s">
        <v>614</v>
      </c>
      <c r="G41" s="22" t="s">
        <v>615</v>
      </c>
      <c r="H41" s="22" t="s">
        <v>61</v>
      </c>
      <c r="I41" s="29" t="s">
        <v>616</v>
      </c>
      <c r="J41" s="22" t="s">
        <v>617</v>
      </c>
      <c r="K41" s="22" t="s">
        <v>396</v>
      </c>
      <c r="L41" s="22" t="s">
        <v>618</v>
      </c>
      <c r="M41" s="22" t="s">
        <v>66</v>
      </c>
      <c r="N41" s="22" t="s">
        <v>619</v>
      </c>
      <c r="O41" s="22" t="s">
        <v>620</v>
      </c>
      <c r="P41" s="22" t="s">
        <v>66</v>
      </c>
      <c r="Q41" s="22" t="s">
        <v>621</v>
      </c>
      <c r="R41" s="22" t="s">
        <v>622</v>
      </c>
      <c r="S41" s="22" t="s">
        <v>66</v>
      </c>
      <c r="T41" s="22" t="s">
        <v>623</v>
      </c>
      <c r="U41" s="22" t="s">
        <v>624</v>
      </c>
      <c r="V41" s="22" t="s">
        <v>66</v>
      </c>
      <c r="W41" s="22" t="s">
        <v>625</v>
      </c>
      <c r="X41" s="22" t="s">
        <v>626</v>
      </c>
      <c r="Y41" s="22" t="s">
        <v>66</v>
      </c>
      <c r="Z41" s="22" t="s">
        <v>627</v>
      </c>
      <c r="AA41" s="22" t="s">
        <v>628</v>
      </c>
      <c r="AB41" s="22" t="s">
        <v>629</v>
      </c>
      <c r="AC41" s="26" t="s">
        <v>630</v>
      </c>
    </row>
    <row r="42" ht="39.75" customHeight="1">
      <c r="A42" s="22">
        <f t="shared" si="3"/>
        <v>41</v>
      </c>
      <c r="B42" s="23" t="s">
        <v>631</v>
      </c>
      <c r="C42" s="22" t="s">
        <v>632</v>
      </c>
      <c r="D42" s="22" t="s">
        <v>633</v>
      </c>
      <c r="E42" s="22">
        <v>2025.0</v>
      </c>
      <c r="F42" s="25" t="s">
        <v>634</v>
      </c>
      <c r="G42" s="22" t="s">
        <v>635</v>
      </c>
      <c r="H42" s="22" t="s">
        <v>61</v>
      </c>
      <c r="I42" s="24" t="s">
        <v>636</v>
      </c>
      <c r="J42" s="22" t="s">
        <v>637</v>
      </c>
      <c r="K42" s="22" t="s">
        <v>82</v>
      </c>
      <c r="L42" s="22" t="s">
        <v>82</v>
      </c>
      <c r="M42" s="22" t="s">
        <v>102</v>
      </c>
      <c r="N42" s="22" t="s">
        <v>82</v>
      </c>
      <c r="O42" s="22" t="s">
        <v>82</v>
      </c>
      <c r="P42" s="22" t="s">
        <v>102</v>
      </c>
      <c r="Q42" s="22" t="s">
        <v>82</v>
      </c>
      <c r="R42" s="22" t="s">
        <v>82</v>
      </c>
      <c r="S42" s="22" t="s">
        <v>66</v>
      </c>
      <c r="T42" s="25" t="s">
        <v>638</v>
      </c>
      <c r="U42" s="22" t="s">
        <v>639</v>
      </c>
      <c r="V42" s="22" t="s">
        <v>102</v>
      </c>
      <c r="W42" s="22" t="s">
        <v>82</v>
      </c>
      <c r="X42" s="22" t="s">
        <v>82</v>
      </c>
      <c r="Y42" s="22" t="s">
        <v>102</v>
      </c>
      <c r="Z42" s="22" t="s">
        <v>82</v>
      </c>
      <c r="AA42" s="22" t="s">
        <v>82</v>
      </c>
      <c r="AB42" s="22" t="s">
        <v>640</v>
      </c>
      <c r="AC42" s="26" t="s">
        <v>641</v>
      </c>
    </row>
    <row r="43" ht="39.75" customHeight="1">
      <c r="A43" s="22">
        <f t="shared" si="3"/>
        <v>42</v>
      </c>
      <c r="B43" s="23" t="s">
        <v>642</v>
      </c>
      <c r="C43" s="22" t="s">
        <v>643</v>
      </c>
      <c r="D43" s="22" t="s">
        <v>644</v>
      </c>
      <c r="E43" s="22">
        <v>2023.0</v>
      </c>
      <c r="F43" s="22">
        <v>2023.0</v>
      </c>
      <c r="G43" s="22" t="s">
        <v>645</v>
      </c>
      <c r="H43" s="22" t="s">
        <v>61</v>
      </c>
      <c r="I43" s="24" t="s">
        <v>646</v>
      </c>
      <c r="J43" s="22" t="s">
        <v>82</v>
      </c>
      <c r="K43" s="22" t="s">
        <v>64</v>
      </c>
      <c r="L43" s="22" t="s">
        <v>647</v>
      </c>
      <c r="M43" s="22" t="s">
        <v>102</v>
      </c>
      <c r="N43" s="22" t="s">
        <v>82</v>
      </c>
      <c r="O43" s="22" t="s">
        <v>82</v>
      </c>
      <c r="P43" s="22" t="s">
        <v>66</v>
      </c>
      <c r="Q43" s="25" t="s">
        <v>648</v>
      </c>
      <c r="R43" s="22" t="s">
        <v>649</v>
      </c>
      <c r="S43" s="22" t="s">
        <v>66</v>
      </c>
      <c r="T43" s="22" t="s">
        <v>650</v>
      </c>
      <c r="U43" s="22" t="s">
        <v>651</v>
      </c>
      <c r="V43" s="22" t="s">
        <v>102</v>
      </c>
      <c r="W43" s="22" t="s">
        <v>82</v>
      </c>
      <c r="X43" s="22" t="s">
        <v>82</v>
      </c>
      <c r="Y43" s="22" t="s">
        <v>66</v>
      </c>
      <c r="Z43" s="25" t="s">
        <v>652</v>
      </c>
      <c r="AA43" s="22" t="s">
        <v>653</v>
      </c>
      <c r="AB43" s="22" t="s">
        <v>654</v>
      </c>
      <c r="AC43" s="26" t="s">
        <v>655</v>
      </c>
    </row>
    <row r="44" ht="39.75" customHeight="1">
      <c r="A44" s="30"/>
      <c r="B44" s="31"/>
      <c r="C44" s="30"/>
      <c r="D44" s="30"/>
      <c r="E44" s="30"/>
      <c r="F44" s="30"/>
      <c r="G44" s="30"/>
      <c r="H44" s="30"/>
      <c r="I44" s="32"/>
      <c r="J44" s="30"/>
      <c r="K44" s="30"/>
      <c r="L44" s="30"/>
      <c r="M44" s="30"/>
      <c r="N44" s="30"/>
      <c r="O44" s="30"/>
      <c r="P44" s="30"/>
      <c r="Q44" s="30"/>
      <c r="R44" s="30"/>
      <c r="S44" s="30"/>
      <c r="T44" s="30"/>
      <c r="U44" s="30"/>
      <c r="V44" s="30"/>
      <c r="W44" s="30"/>
      <c r="X44" s="30"/>
      <c r="Y44" s="30"/>
      <c r="Z44" s="30"/>
      <c r="AA44" s="30"/>
      <c r="AB44" s="30"/>
      <c r="AC44" s="30"/>
    </row>
    <row r="45" ht="39.75" customHeight="1">
      <c r="A45" s="30"/>
      <c r="B45" s="31"/>
      <c r="C45" s="30"/>
      <c r="D45" s="30"/>
      <c r="E45" s="30"/>
      <c r="F45" s="30"/>
      <c r="G45" s="30"/>
      <c r="H45" s="30"/>
      <c r="I45" s="32"/>
      <c r="J45" s="30"/>
      <c r="K45" s="30"/>
      <c r="L45" s="30"/>
      <c r="M45" s="30"/>
      <c r="N45" s="30"/>
      <c r="O45" s="30"/>
      <c r="P45" s="30"/>
      <c r="Q45" s="30"/>
      <c r="R45" s="30"/>
      <c r="S45" s="30"/>
      <c r="T45" s="30"/>
      <c r="U45" s="30"/>
      <c r="V45" s="30"/>
      <c r="W45" s="30"/>
      <c r="X45" s="30"/>
      <c r="Y45" s="30"/>
      <c r="Z45" s="30"/>
      <c r="AA45" s="30"/>
      <c r="AB45" s="30"/>
      <c r="AC45" s="30"/>
    </row>
    <row r="46" ht="39.75" customHeight="1">
      <c r="A46" s="30"/>
      <c r="B46" s="31"/>
      <c r="C46" s="30"/>
      <c r="D46" s="30"/>
      <c r="E46" s="30"/>
      <c r="F46" s="30"/>
      <c r="G46" s="30"/>
      <c r="H46" s="30"/>
      <c r="I46" s="32"/>
      <c r="J46" s="30"/>
      <c r="K46" s="30"/>
      <c r="L46" s="30"/>
      <c r="M46" s="30"/>
      <c r="N46" s="30"/>
      <c r="O46" s="30"/>
      <c r="P46" s="30"/>
      <c r="Q46" s="30"/>
      <c r="R46" s="30"/>
      <c r="S46" s="30"/>
      <c r="T46" s="30"/>
      <c r="U46" s="30"/>
      <c r="V46" s="30"/>
      <c r="W46" s="30"/>
      <c r="X46" s="30"/>
      <c r="Y46" s="30"/>
      <c r="Z46" s="30"/>
      <c r="AA46" s="30"/>
      <c r="AB46" s="30"/>
      <c r="AC46" s="30"/>
    </row>
    <row r="47" ht="39.75" customHeight="1">
      <c r="A47" s="30"/>
      <c r="B47" s="31"/>
      <c r="C47" s="30"/>
      <c r="D47" s="30"/>
      <c r="E47" s="30"/>
      <c r="F47" s="30"/>
      <c r="G47" s="30"/>
      <c r="H47" s="30"/>
      <c r="I47" s="32"/>
      <c r="J47" s="30"/>
      <c r="K47" s="30"/>
      <c r="L47" s="30"/>
      <c r="M47" s="30"/>
      <c r="N47" s="30"/>
      <c r="O47" s="30"/>
      <c r="P47" s="30"/>
      <c r="Q47" s="30"/>
      <c r="R47" s="30"/>
      <c r="S47" s="30"/>
      <c r="T47" s="30"/>
      <c r="U47" s="30"/>
      <c r="V47" s="30"/>
      <c r="W47" s="30"/>
      <c r="X47" s="30"/>
      <c r="Y47" s="30"/>
      <c r="Z47" s="30"/>
      <c r="AA47" s="30"/>
      <c r="AB47" s="30"/>
      <c r="AC47" s="30"/>
    </row>
    <row r="48" ht="39.75" customHeight="1">
      <c r="A48" s="30"/>
      <c r="B48" s="31"/>
      <c r="C48" s="30"/>
      <c r="D48" s="30"/>
      <c r="E48" s="30"/>
      <c r="F48" s="30"/>
      <c r="G48" s="30"/>
      <c r="H48" s="30"/>
      <c r="I48" s="32"/>
      <c r="J48" s="30"/>
      <c r="K48" s="30"/>
      <c r="L48" s="30"/>
      <c r="M48" s="30"/>
      <c r="N48" s="30"/>
      <c r="O48" s="30"/>
      <c r="P48" s="30"/>
      <c r="Q48" s="30"/>
      <c r="R48" s="30"/>
      <c r="S48" s="30"/>
      <c r="T48" s="30"/>
      <c r="U48" s="30"/>
      <c r="V48" s="30"/>
      <c r="W48" s="30"/>
      <c r="X48" s="30"/>
      <c r="Y48" s="30"/>
      <c r="Z48" s="30"/>
      <c r="AA48" s="30"/>
      <c r="AB48" s="30"/>
      <c r="AC48" s="30"/>
    </row>
    <row r="49" ht="39.75" customHeight="1">
      <c r="A49" s="30"/>
      <c r="B49" s="31"/>
      <c r="C49" s="30"/>
      <c r="D49" s="30"/>
      <c r="E49" s="30"/>
      <c r="F49" s="30"/>
      <c r="G49" s="30"/>
      <c r="H49" s="30"/>
      <c r="I49" s="32"/>
      <c r="J49" s="30"/>
      <c r="K49" s="30"/>
      <c r="L49" s="30"/>
      <c r="M49" s="30"/>
      <c r="N49" s="30"/>
      <c r="O49" s="30"/>
      <c r="P49" s="30"/>
      <c r="Q49" s="30"/>
      <c r="R49" s="30"/>
      <c r="S49" s="30"/>
      <c r="T49" s="30"/>
      <c r="U49" s="30"/>
      <c r="V49" s="30"/>
      <c r="W49" s="30"/>
      <c r="X49" s="30"/>
      <c r="Y49" s="30"/>
      <c r="Z49" s="30"/>
      <c r="AA49" s="30"/>
      <c r="AB49" s="30"/>
      <c r="AC49" s="30"/>
    </row>
    <row r="50" ht="39.75" customHeight="1">
      <c r="A50" s="30"/>
      <c r="B50" s="31"/>
      <c r="C50" s="30"/>
      <c r="D50" s="30"/>
      <c r="E50" s="30"/>
      <c r="F50" s="30"/>
      <c r="G50" s="30"/>
      <c r="H50" s="30"/>
      <c r="I50" s="32"/>
      <c r="J50" s="30"/>
      <c r="K50" s="30"/>
      <c r="L50" s="30"/>
      <c r="M50" s="30"/>
      <c r="N50" s="30"/>
      <c r="O50" s="30"/>
      <c r="P50" s="30"/>
      <c r="Q50" s="30"/>
      <c r="R50" s="30"/>
      <c r="S50" s="30"/>
      <c r="T50" s="30"/>
      <c r="U50" s="30"/>
      <c r="V50" s="30"/>
      <c r="W50" s="30"/>
      <c r="X50" s="30"/>
      <c r="Y50" s="30"/>
      <c r="Z50" s="30"/>
      <c r="AA50" s="30"/>
      <c r="AB50" s="30"/>
      <c r="AC50" s="30"/>
    </row>
    <row r="51" ht="39.75" customHeight="1">
      <c r="A51" s="30"/>
      <c r="B51" s="31"/>
      <c r="C51" s="30"/>
      <c r="D51" s="30"/>
      <c r="E51" s="30"/>
      <c r="F51" s="30"/>
      <c r="G51" s="30"/>
      <c r="H51" s="30"/>
      <c r="I51" s="32"/>
      <c r="J51" s="30"/>
      <c r="K51" s="30"/>
      <c r="L51" s="30"/>
      <c r="M51" s="30"/>
      <c r="N51" s="30"/>
      <c r="O51" s="30"/>
      <c r="P51" s="30"/>
      <c r="Q51" s="30"/>
      <c r="R51" s="30"/>
      <c r="S51" s="30"/>
      <c r="T51" s="30"/>
      <c r="U51" s="30"/>
      <c r="V51" s="30"/>
      <c r="W51" s="30"/>
      <c r="X51" s="30"/>
      <c r="Y51" s="30"/>
      <c r="Z51" s="30"/>
      <c r="AA51" s="30"/>
      <c r="AB51" s="30"/>
      <c r="AC51" s="30"/>
    </row>
    <row r="52" ht="39.75" customHeight="1">
      <c r="A52" s="30"/>
      <c r="B52" s="31"/>
      <c r="C52" s="30"/>
      <c r="D52" s="30"/>
      <c r="E52" s="30"/>
      <c r="F52" s="30"/>
      <c r="G52" s="30"/>
      <c r="H52" s="30"/>
      <c r="I52" s="32"/>
      <c r="J52" s="30"/>
      <c r="K52" s="30"/>
      <c r="L52" s="30"/>
      <c r="M52" s="30"/>
      <c r="N52" s="30"/>
      <c r="O52" s="30"/>
      <c r="P52" s="30"/>
      <c r="Q52" s="30"/>
      <c r="R52" s="30"/>
      <c r="S52" s="30"/>
      <c r="T52" s="30"/>
      <c r="U52" s="30"/>
      <c r="V52" s="30"/>
      <c r="W52" s="30"/>
      <c r="X52" s="30"/>
      <c r="Y52" s="30"/>
      <c r="Z52" s="30"/>
      <c r="AA52" s="30"/>
      <c r="AB52" s="30"/>
      <c r="AC52" s="30"/>
    </row>
    <row r="53" ht="39.75" customHeight="1">
      <c r="A53" s="30"/>
      <c r="B53" s="31"/>
      <c r="C53" s="30"/>
      <c r="D53" s="30"/>
      <c r="E53" s="30"/>
      <c r="F53" s="30"/>
      <c r="G53" s="30"/>
      <c r="H53" s="30"/>
      <c r="I53" s="32"/>
      <c r="J53" s="30"/>
      <c r="K53" s="30"/>
      <c r="L53" s="30"/>
      <c r="M53" s="30"/>
      <c r="N53" s="30"/>
      <c r="O53" s="30"/>
      <c r="P53" s="30"/>
      <c r="Q53" s="30"/>
      <c r="R53" s="30"/>
      <c r="S53" s="30"/>
      <c r="T53" s="30"/>
      <c r="U53" s="30"/>
      <c r="V53" s="30"/>
      <c r="W53" s="30"/>
      <c r="X53" s="30"/>
      <c r="Y53" s="30"/>
      <c r="Z53" s="30"/>
      <c r="AA53" s="30"/>
      <c r="AB53" s="30"/>
      <c r="AC53" s="30"/>
    </row>
    <row r="54" ht="39.75" customHeight="1">
      <c r="A54" s="30"/>
      <c r="B54" s="31"/>
      <c r="C54" s="30"/>
      <c r="D54" s="30"/>
      <c r="E54" s="30"/>
      <c r="F54" s="30"/>
      <c r="G54" s="30"/>
      <c r="H54" s="30"/>
      <c r="I54" s="32"/>
      <c r="J54" s="30"/>
      <c r="K54" s="30"/>
      <c r="L54" s="30"/>
      <c r="M54" s="30"/>
      <c r="N54" s="30"/>
      <c r="O54" s="30"/>
      <c r="P54" s="30"/>
      <c r="Q54" s="30"/>
      <c r="R54" s="30"/>
      <c r="S54" s="30"/>
      <c r="T54" s="30"/>
      <c r="U54" s="30"/>
      <c r="V54" s="30"/>
      <c r="W54" s="30"/>
      <c r="X54" s="30"/>
      <c r="Y54" s="30"/>
      <c r="Z54" s="30"/>
      <c r="AA54" s="30"/>
      <c r="AB54" s="30"/>
      <c r="AC54" s="30"/>
    </row>
    <row r="55" ht="39.75" customHeight="1">
      <c r="A55" s="30"/>
      <c r="B55" s="31"/>
      <c r="C55" s="30"/>
      <c r="D55" s="30"/>
      <c r="E55" s="30"/>
      <c r="F55" s="30"/>
      <c r="G55" s="30"/>
      <c r="H55" s="30"/>
      <c r="I55" s="32"/>
      <c r="J55" s="30"/>
      <c r="K55" s="30"/>
      <c r="L55" s="30"/>
      <c r="M55" s="30"/>
      <c r="N55" s="30"/>
      <c r="O55" s="30"/>
      <c r="P55" s="30"/>
      <c r="Q55" s="30"/>
      <c r="R55" s="30"/>
      <c r="S55" s="30"/>
      <c r="T55" s="30"/>
      <c r="U55" s="30"/>
      <c r="V55" s="30"/>
      <c r="W55" s="30"/>
      <c r="X55" s="30"/>
      <c r="Y55" s="30"/>
      <c r="Z55" s="30"/>
      <c r="AA55" s="30"/>
      <c r="AB55" s="30"/>
      <c r="AC55" s="30"/>
    </row>
    <row r="56" ht="39.75" customHeight="1">
      <c r="A56" s="30"/>
      <c r="B56" s="31"/>
      <c r="C56" s="30"/>
      <c r="D56" s="30"/>
      <c r="E56" s="30"/>
      <c r="F56" s="30"/>
      <c r="G56" s="30"/>
      <c r="H56" s="30"/>
      <c r="I56" s="32"/>
      <c r="J56" s="30"/>
      <c r="K56" s="30"/>
      <c r="L56" s="30"/>
      <c r="M56" s="30"/>
      <c r="N56" s="30"/>
      <c r="O56" s="30"/>
      <c r="P56" s="30"/>
      <c r="Q56" s="30"/>
      <c r="R56" s="30"/>
      <c r="S56" s="30"/>
      <c r="T56" s="30"/>
      <c r="U56" s="30"/>
      <c r="V56" s="30"/>
      <c r="W56" s="30"/>
      <c r="X56" s="30"/>
      <c r="Y56" s="30"/>
      <c r="Z56" s="30"/>
      <c r="AA56" s="30"/>
      <c r="AB56" s="30"/>
      <c r="AC56" s="30"/>
    </row>
    <row r="57" ht="39.75" customHeight="1">
      <c r="A57" s="30"/>
      <c r="B57" s="31"/>
      <c r="C57" s="30"/>
      <c r="D57" s="30"/>
      <c r="E57" s="30"/>
      <c r="F57" s="30"/>
      <c r="G57" s="30"/>
      <c r="H57" s="30"/>
      <c r="I57" s="32"/>
      <c r="J57" s="30"/>
      <c r="K57" s="30"/>
      <c r="L57" s="30"/>
      <c r="M57" s="30"/>
      <c r="N57" s="30"/>
      <c r="O57" s="30"/>
      <c r="P57" s="30"/>
      <c r="Q57" s="30"/>
      <c r="R57" s="30"/>
      <c r="S57" s="30"/>
      <c r="T57" s="30"/>
      <c r="U57" s="30"/>
      <c r="V57" s="30"/>
      <c r="W57" s="30"/>
      <c r="X57" s="30"/>
      <c r="Y57" s="30"/>
      <c r="Z57" s="30"/>
      <c r="AA57" s="30"/>
      <c r="AB57" s="30"/>
      <c r="AC57" s="30"/>
    </row>
    <row r="58" ht="39.75" customHeight="1">
      <c r="A58" s="30"/>
      <c r="B58" s="31"/>
      <c r="C58" s="30"/>
      <c r="D58" s="30"/>
      <c r="E58" s="30"/>
      <c r="F58" s="30"/>
      <c r="G58" s="30"/>
      <c r="H58" s="30"/>
      <c r="I58" s="32"/>
      <c r="J58" s="30"/>
      <c r="K58" s="30"/>
      <c r="L58" s="30"/>
      <c r="M58" s="30"/>
      <c r="N58" s="30"/>
      <c r="O58" s="30"/>
      <c r="P58" s="30"/>
      <c r="Q58" s="30"/>
      <c r="R58" s="30"/>
      <c r="S58" s="30"/>
      <c r="T58" s="30"/>
      <c r="U58" s="30"/>
      <c r="V58" s="30"/>
      <c r="W58" s="30"/>
      <c r="X58" s="30"/>
      <c r="Y58" s="30"/>
      <c r="Z58" s="30"/>
      <c r="AA58" s="30"/>
      <c r="AB58" s="30"/>
      <c r="AC58" s="30"/>
    </row>
    <row r="59" ht="39.75" customHeight="1">
      <c r="A59" s="30"/>
      <c r="B59" s="31"/>
      <c r="C59" s="30"/>
      <c r="D59" s="30"/>
      <c r="E59" s="30"/>
      <c r="F59" s="30"/>
      <c r="G59" s="30"/>
      <c r="H59" s="30"/>
      <c r="I59" s="32"/>
      <c r="J59" s="30"/>
      <c r="K59" s="30"/>
      <c r="L59" s="30"/>
      <c r="M59" s="30"/>
      <c r="N59" s="30"/>
      <c r="O59" s="30"/>
      <c r="P59" s="30"/>
      <c r="Q59" s="30"/>
      <c r="R59" s="30"/>
      <c r="S59" s="30"/>
      <c r="T59" s="30"/>
      <c r="U59" s="30"/>
      <c r="V59" s="30"/>
      <c r="W59" s="30"/>
      <c r="X59" s="30"/>
      <c r="Y59" s="30"/>
      <c r="Z59" s="30"/>
      <c r="AA59" s="30"/>
      <c r="AB59" s="30"/>
      <c r="AC59" s="30"/>
    </row>
    <row r="60" ht="39.75" customHeight="1">
      <c r="A60" s="30"/>
      <c r="B60" s="31"/>
      <c r="C60" s="30"/>
      <c r="D60" s="30"/>
      <c r="E60" s="30"/>
      <c r="F60" s="30"/>
      <c r="G60" s="30"/>
      <c r="H60" s="30"/>
      <c r="I60" s="32"/>
      <c r="J60" s="30"/>
      <c r="K60" s="30"/>
      <c r="L60" s="30"/>
      <c r="M60" s="30"/>
      <c r="N60" s="30"/>
      <c r="O60" s="30"/>
      <c r="P60" s="30"/>
      <c r="Q60" s="30"/>
      <c r="R60" s="30"/>
      <c r="S60" s="30"/>
      <c r="T60" s="30"/>
      <c r="U60" s="30"/>
      <c r="V60" s="30"/>
      <c r="W60" s="30"/>
      <c r="X60" s="30"/>
      <c r="Y60" s="30"/>
      <c r="Z60" s="30"/>
      <c r="AA60" s="30"/>
      <c r="AB60" s="30"/>
      <c r="AC60" s="30"/>
    </row>
    <row r="61" ht="39.75" customHeight="1">
      <c r="A61" s="30"/>
      <c r="B61" s="31"/>
      <c r="C61" s="30"/>
      <c r="D61" s="30"/>
      <c r="E61" s="30"/>
      <c r="F61" s="30"/>
      <c r="G61" s="30"/>
      <c r="H61" s="30"/>
      <c r="I61" s="32"/>
      <c r="J61" s="30"/>
      <c r="K61" s="30"/>
      <c r="L61" s="30"/>
      <c r="M61" s="30"/>
      <c r="N61" s="30"/>
      <c r="O61" s="30"/>
      <c r="P61" s="30"/>
      <c r="Q61" s="30"/>
      <c r="R61" s="30"/>
      <c r="S61" s="30"/>
      <c r="T61" s="30"/>
      <c r="U61" s="30"/>
      <c r="V61" s="30"/>
      <c r="W61" s="30"/>
      <c r="X61" s="30"/>
      <c r="Y61" s="30"/>
      <c r="Z61" s="30"/>
      <c r="AA61" s="30"/>
      <c r="AB61" s="30"/>
      <c r="AC61" s="30"/>
    </row>
    <row r="62" ht="39.75" customHeight="1">
      <c r="A62" s="30"/>
      <c r="B62" s="31"/>
      <c r="C62" s="30"/>
      <c r="D62" s="30"/>
      <c r="E62" s="30"/>
      <c r="F62" s="30"/>
      <c r="G62" s="30"/>
      <c r="H62" s="30"/>
      <c r="I62" s="32"/>
      <c r="J62" s="30"/>
      <c r="K62" s="30"/>
      <c r="L62" s="30"/>
      <c r="M62" s="30"/>
      <c r="N62" s="30"/>
      <c r="O62" s="30"/>
      <c r="P62" s="30"/>
      <c r="Q62" s="30"/>
      <c r="R62" s="30"/>
      <c r="S62" s="30"/>
      <c r="T62" s="30"/>
      <c r="U62" s="30"/>
      <c r="V62" s="30"/>
      <c r="W62" s="30"/>
      <c r="X62" s="30"/>
      <c r="Y62" s="30"/>
      <c r="Z62" s="30"/>
      <c r="AA62" s="30"/>
      <c r="AB62" s="30"/>
      <c r="AC62" s="30"/>
    </row>
    <row r="63" ht="39.75" customHeight="1">
      <c r="A63" s="30"/>
      <c r="B63" s="31"/>
      <c r="C63" s="30"/>
      <c r="D63" s="30"/>
      <c r="E63" s="30"/>
      <c r="F63" s="30"/>
      <c r="G63" s="30"/>
      <c r="H63" s="30"/>
      <c r="I63" s="32"/>
      <c r="J63" s="30"/>
      <c r="K63" s="30"/>
      <c r="L63" s="30"/>
      <c r="M63" s="30"/>
      <c r="N63" s="30"/>
      <c r="O63" s="30"/>
      <c r="P63" s="30"/>
      <c r="Q63" s="30"/>
      <c r="R63" s="30"/>
      <c r="S63" s="30"/>
      <c r="T63" s="30"/>
      <c r="U63" s="30"/>
      <c r="V63" s="30"/>
      <c r="W63" s="30"/>
      <c r="X63" s="30"/>
      <c r="Y63" s="30"/>
      <c r="Z63" s="30"/>
      <c r="AA63" s="30"/>
      <c r="AB63" s="30"/>
      <c r="AC63" s="30"/>
    </row>
    <row r="64" ht="39.75" customHeight="1">
      <c r="A64" s="30"/>
      <c r="B64" s="31"/>
      <c r="C64" s="30"/>
      <c r="D64" s="30"/>
      <c r="E64" s="30"/>
      <c r="F64" s="30"/>
      <c r="G64" s="30"/>
      <c r="H64" s="30"/>
      <c r="I64" s="32"/>
      <c r="J64" s="30"/>
      <c r="K64" s="30"/>
      <c r="L64" s="30"/>
      <c r="M64" s="30"/>
      <c r="N64" s="30"/>
      <c r="O64" s="30"/>
      <c r="P64" s="30"/>
      <c r="Q64" s="30"/>
      <c r="R64" s="30"/>
      <c r="S64" s="30"/>
      <c r="T64" s="30"/>
      <c r="U64" s="30"/>
      <c r="V64" s="30"/>
      <c r="W64" s="30"/>
      <c r="X64" s="30"/>
      <c r="Y64" s="30"/>
      <c r="Z64" s="30"/>
      <c r="AA64" s="30"/>
      <c r="AB64" s="30"/>
      <c r="AC64" s="30"/>
    </row>
    <row r="65" ht="39.75" customHeight="1">
      <c r="A65" s="30"/>
      <c r="B65" s="31"/>
      <c r="C65" s="30"/>
      <c r="D65" s="30"/>
      <c r="E65" s="30"/>
      <c r="F65" s="30"/>
      <c r="G65" s="30"/>
      <c r="H65" s="30"/>
      <c r="I65" s="32"/>
      <c r="J65" s="30"/>
      <c r="K65" s="30"/>
      <c r="L65" s="30"/>
      <c r="M65" s="30"/>
      <c r="N65" s="30"/>
      <c r="O65" s="30"/>
      <c r="P65" s="30"/>
      <c r="Q65" s="30"/>
      <c r="R65" s="30"/>
      <c r="S65" s="30"/>
      <c r="T65" s="30"/>
      <c r="U65" s="30"/>
      <c r="V65" s="30"/>
      <c r="W65" s="30"/>
      <c r="X65" s="30"/>
      <c r="Y65" s="30"/>
      <c r="Z65" s="30"/>
      <c r="AA65" s="30"/>
      <c r="AB65" s="30"/>
      <c r="AC65" s="30"/>
    </row>
    <row r="66" ht="39.75" customHeight="1">
      <c r="A66" s="30"/>
      <c r="B66" s="31"/>
      <c r="C66" s="30"/>
      <c r="D66" s="30"/>
      <c r="E66" s="30"/>
      <c r="F66" s="30"/>
      <c r="G66" s="30"/>
      <c r="H66" s="30"/>
      <c r="I66" s="32"/>
      <c r="J66" s="30"/>
      <c r="K66" s="30"/>
      <c r="L66" s="30"/>
      <c r="M66" s="30"/>
      <c r="N66" s="30"/>
      <c r="O66" s="30"/>
      <c r="P66" s="30"/>
      <c r="Q66" s="30"/>
      <c r="R66" s="30"/>
      <c r="S66" s="30"/>
      <c r="T66" s="30"/>
      <c r="U66" s="30"/>
      <c r="V66" s="30"/>
      <c r="W66" s="30"/>
      <c r="X66" s="30"/>
      <c r="Y66" s="30"/>
      <c r="Z66" s="30"/>
      <c r="AA66" s="30"/>
      <c r="AB66" s="30"/>
      <c r="AC66" s="30"/>
    </row>
    <row r="67" ht="39.75" customHeight="1">
      <c r="A67" s="30"/>
      <c r="B67" s="31"/>
      <c r="C67" s="30"/>
      <c r="D67" s="30"/>
      <c r="E67" s="30"/>
      <c r="F67" s="30"/>
      <c r="G67" s="30"/>
      <c r="H67" s="30"/>
      <c r="I67" s="32"/>
      <c r="J67" s="30"/>
      <c r="K67" s="30"/>
      <c r="L67" s="30"/>
      <c r="M67" s="30"/>
      <c r="N67" s="30"/>
      <c r="O67" s="30"/>
      <c r="P67" s="30"/>
      <c r="Q67" s="30"/>
      <c r="R67" s="30"/>
      <c r="S67" s="30"/>
      <c r="T67" s="30"/>
      <c r="U67" s="30"/>
      <c r="V67" s="30"/>
      <c r="W67" s="30"/>
      <c r="X67" s="30"/>
      <c r="Y67" s="30"/>
      <c r="Z67" s="30"/>
      <c r="AA67" s="30"/>
      <c r="AB67" s="30"/>
      <c r="AC67" s="30"/>
    </row>
    <row r="68" ht="39.75" customHeight="1">
      <c r="A68" s="30"/>
      <c r="B68" s="31"/>
      <c r="C68" s="30"/>
      <c r="D68" s="30"/>
      <c r="E68" s="30"/>
      <c r="F68" s="30"/>
      <c r="G68" s="30"/>
      <c r="H68" s="30"/>
      <c r="I68" s="32"/>
      <c r="J68" s="30"/>
      <c r="K68" s="30"/>
      <c r="L68" s="30"/>
      <c r="M68" s="30"/>
      <c r="N68" s="30"/>
      <c r="O68" s="30"/>
      <c r="P68" s="30"/>
      <c r="Q68" s="30"/>
      <c r="R68" s="30"/>
      <c r="S68" s="30"/>
      <c r="T68" s="30"/>
      <c r="U68" s="30"/>
      <c r="V68" s="30"/>
      <c r="W68" s="30"/>
      <c r="X68" s="30"/>
      <c r="Y68" s="30"/>
      <c r="Z68" s="30"/>
      <c r="AA68" s="30"/>
      <c r="AB68" s="30"/>
      <c r="AC68" s="30"/>
    </row>
    <row r="69" ht="39.75" customHeight="1">
      <c r="A69" s="30"/>
      <c r="B69" s="31"/>
      <c r="C69" s="30"/>
      <c r="D69" s="30"/>
      <c r="E69" s="30"/>
      <c r="F69" s="30"/>
      <c r="G69" s="30"/>
      <c r="H69" s="30"/>
      <c r="I69" s="32"/>
      <c r="J69" s="30"/>
      <c r="K69" s="30"/>
      <c r="L69" s="30"/>
      <c r="M69" s="30"/>
      <c r="N69" s="30"/>
      <c r="O69" s="30"/>
      <c r="P69" s="30"/>
      <c r="Q69" s="30"/>
      <c r="R69" s="30"/>
      <c r="S69" s="30"/>
      <c r="T69" s="30"/>
      <c r="U69" s="30"/>
      <c r="V69" s="30"/>
      <c r="W69" s="30"/>
      <c r="X69" s="30"/>
      <c r="Y69" s="30"/>
      <c r="Z69" s="30"/>
      <c r="AA69" s="30"/>
      <c r="AB69" s="30"/>
      <c r="AC69" s="30"/>
    </row>
    <row r="70" ht="39.75" customHeight="1">
      <c r="A70" s="30"/>
      <c r="B70" s="31"/>
      <c r="C70" s="30"/>
      <c r="D70" s="30"/>
      <c r="E70" s="30"/>
      <c r="F70" s="30"/>
      <c r="G70" s="30"/>
      <c r="H70" s="30"/>
      <c r="I70" s="32"/>
      <c r="J70" s="30"/>
      <c r="K70" s="30"/>
      <c r="L70" s="30"/>
      <c r="M70" s="30"/>
      <c r="N70" s="30"/>
      <c r="O70" s="30"/>
      <c r="P70" s="30"/>
      <c r="Q70" s="30"/>
      <c r="R70" s="30"/>
      <c r="S70" s="30"/>
      <c r="T70" s="30"/>
      <c r="U70" s="30"/>
      <c r="V70" s="30"/>
      <c r="W70" s="30"/>
      <c r="X70" s="30"/>
      <c r="Y70" s="30"/>
      <c r="Z70" s="30"/>
      <c r="AA70" s="30"/>
      <c r="AB70" s="30"/>
      <c r="AC70" s="30"/>
    </row>
    <row r="71" ht="39.75" customHeight="1">
      <c r="A71" s="30"/>
      <c r="B71" s="31"/>
      <c r="C71" s="30"/>
      <c r="D71" s="30"/>
      <c r="E71" s="30"/>
      <c r="F71" s="30"/>
      <c r="G71" s="30"/>
      <c r="H71" s="30"/>
      <c r="I71" s="32"/>
      <c r="J71" s="30"/>
      <c r="K71" s="30"/>
      <c r="L71" s="30"/>
      <c r="M71" s="30"/>
      <c r="N71" s="30"/>
      <c r="O71" s="30"/>
      <c r="P71" s="30"/>
      <c r="Q71" s="30"/>
      <c r="R71" s="30"/>
      <c r="S71" s="30"/>
      <c r="T71" s="30"/>
      <c r="U71" s="30"/>
      <c r="V71" s="30"/>
      <c r="W71" s="30"/>
      <c r="X71" s="30"/>
      <c r="Y71" s="30"/>
      <c r="Z71" s="30"/>
      <c r="AA71" s="30"/>
      <c r="AB71" s="30"/>
      <c r="AC71" s="30"/>
    </row>
    <row r="72" ht="39.75" customHeight="1">
      <c r="A72" s="30"/>
      <c r="B72" s="31"/>
      <c r="C72" s="30"/>
      <c r="D72" s="30"/>
      <c r="E72" s="30"/>
      <c r="F72" s="30"/>
      <c r="G72" s="30"/>
      <c r="H72" s="30"/>
      <c r="I72" s="32"/>
      <c r="J72" s="30"/>
      <c r="K72" s="30"/>
      <c r="L72" s="30"/>
      <c r="M72" s="30"/>
      <c r="N72" s="30"/>
      <c r="O72" s="30"/>
      <c r="P72" s="30"/>
      <c r="Q72" s="30"/>
      <c r="R72" s="30"/>
      <c r="S72" s="30"/>
      <c r="T72" s="30"/>
      <c r="U72" s="30"/>
      <c r="V72" s="30"/>
      <c r="W72" s="30"/>
      <c r="X72" s="30"/>
      <c r="Y72" s="30"/>
      <c r="Z72" s="30"/>
      <c r="AA72" s="30"/>
      <c r="AB72" s="30"/>
      <c r="AC72" s="30"/>
    </row>
    <row r="73" ht="39.75" customHeight="1">
      <c r="A73" s="30"/>
      <c r="B73" s="31"/>
      <c r="C73" s="30"/>
      <c r="D73" s="30"/>
      <c r="E73" s="30"/>
      <c r="F73" s="30"/>
      <c r="G73" s="30"/>
      <c r="H73" s="30"/>
      <c r="I73" s="32"/>
      <c r="J73" s="30"/>
      <c r="K73" s="30"/>
      <c r="L73" s="30"/>
      <c r="M73" s="30"/>
      <c r="N73" s="30"/>
      <c r="O73" s="30"/>
      <c r="P73" s="30"/>
      <c r="Q73" s="30"/>
      <c r="R73" s="30"/>
      <c r="S73" s="30"/>
      <c r="T73" s="30"/>
      <c r="U73" s="30"/>
      <c r="V73" s="30"/>
      <c r="W73" s="30"/>
      <c r="X73" s="30"/>
      <c r="Y73" s="30"/>
      <c r="Z73" s="30"/>
      <c r="AA73" s="30"/>
      <c r="AB73" s="30"/>
      <c r="AC73" s="30"/>
    </row>
    <row r="74" ht="39.75" customHeight="1">
      <c r="A74" s="30"/>
      <c r="B74" s="31"/>
      <c r="C74" s="30"/>
      <c r="D74" s="30"/>
      <c r="E74" s="30"/>
      <c r="F74" s="30"/>
      <c r="G74" s="30"/>
      <c r="H74" s="30"/>
      <c r="I74" s="32"/>
      <c r="J74" s="30"/>
      <c r="K74" s="30"/>
      <c r="L74" s="30"/>
      <c r="M74" s="30"/>
      <c r="N74" s="30"/>
      <c r="O74" s="30"/>
      <c r="P74" s="30"/>
      <c r="Q74" s="30"/>
      <c r="R74" s="30"/>
      <c r="S74" s="30"/>
      <c r="T74" s="30"/>
      <c r="U74" s="30"/>
      <c r="V74" s="30"/>
      <c r="W74" s="30"/>
      <c r="X74" s="30"/>
      <c r="Y74" s="30"/>
      <c r="Z74" s="30"/>
      <c r="AA74" s="30"/>
      <c r="AB74" s="30"/>
      <c r="AC74" s="30"/>
    </row>
    <row r="75" ht="39.75" customHeight="1">
      <c r="A75" s="30"/>
      <c r="B75" s="31"/>
      <c r="C75" s="30"/>
      <c r="D75" s="30"/>
      <c r="E75" s="30"/>
      <c r="F75" s="30"/>
      <c r="G75" s="30"/>
      <c r="H75" s="30"/>
      <c r="I75" s="32"/>
      <c r="J75" s="30"/>
      <c r="K75" s="30"/>
      <c r="L75" s="30"/>
      <c r="M75" s="30"/>
      <c r="N75" s="30"/>
      <c r="O75" s="30"/>
      <c r="P75" s="30"/>
      <c r="Q75" s="30"/>
      <c r="R75" s="30"/>
      <c r="S75" s="30"/>
      <c r="T75" s="30"/>
      <c r="U75" s="30"/>
      <c r="V75" s="30"/>
      <c r="W75" s="30"/>
      <c r="X75" s="30"/>
      <c r="Y75" s="30"/>
      <c r="Z75" s="30"/>
      <c r="AA75" s="30"/>
      <c r="AB75" s="30"/>
      <c r="AC75" s="30"/>
    </row>
    <row r="76" ht="39.75" customHeight="1">
      <c r="A76" s="30"/>
      <c r="B76" s="31"/>
      <c r="C76" s="30"/>
      <c r="D76" s="30"/>
      <c r="E76" s="30"/>
      <c r="F76" s="30"/>
      <c r="G76" s="30"/>
      <c r="H76" s="30"/>
      <c r="I76" s="32"/>
      <c r="J76" s="30"/>
      <c r="K76" s="30"/>
      <c r="L76" s="30"/>
      <c r="M76" s="30"/>
      <c r="N76" s="30"/>
      <c r="O76" s="30"/>
      <c r="P76" s="30"/>
      <c r="Q76" s="30"/>
      <c r="R76" s="30"/>
      <c r="S76" s="30"/>
      <c r="T76" s="30"/>
      <c r="U76" s="30"/>
      <c r="V76" s="30"/>
      <c r="W76" s="30"/>
      <c r="X76" s="30"/>
      <c r="Y76" s="30"/>
      <c r="Z76" s="30"/>
      <c r="AA76" s="30"/>
      <c r="AB76" s="30"/>
      <c r="AC76" s="30"/>
    </row>
    <row r="77" ht="39.75" customHeight="1">
      <c r="A77" s="30"/>
      <c r="B77" s="31"/>
      <c r="C77" s="30"/>
      <c r="D77" s="30"/>
      <c r="E77" s="30"/>
      <c r="F77" s="30"/>
      <c r="G77" s="30"/>
      <c r="H77" s="30"/>
      <c r="I77" s="32"/>
      <c r="J77" s="30"/>
      <c r="K77" s="30"/>
      <c r="L77" s="30"/>
      <c r="M77" s="30"/>
      <c r="N77" s="30"/>
      <c r="O77" s="30"/>
      <c r="P77" s="30"/>
      <c r="Q77" s="30"/>
      <c r="R77" s="30"/>
      <c r="S77" s="30"/>
      <c r="T77" s="30"/>
      <c r="U77" s="30"/>
      <c r="V77" s="30"/>
      <c r="W77" s="30"/>
      <c r="X77" s="30"/>
      <c r="Y77" s="30"/>
      <c r="Z77" s="30"/>
      <c r="AA77" s="30"/>
      <c r="AB77" s="30"/>
      <c r="AC77" s="30"/>
    </row>
    <row r="78" ht="39.75" customHeight="1">
      <c r="A78" s="30"/>
      <c r="B78" s="31"/>
      <c r="C78" s="30"/>
      <c r="D78" s="30"/>
      <c r="E78" s="30"/>
      <c r="F78" s="30"/>
      <c r="G78" s="30"/>
      <c r="H78" s="30"/>
      <c r="I78" s="32"/>
      <c r="J78" s="30"/>
      <c r="K78" s="30"/>
      <c r="L78" s="30"/>
      <c r="M78" s="30"/>
      <c r="N78" s="30"/>
      <c r="O78" s="30"/>
      <c r="P78" s="30"/>
      <c r="Q78" s="30"/>
      <c r="R78" s="30"/>
      <c r="S78" s="30"/>
      <c r="T78" s="30"/>
      <c r="U78" s="30"/>
      <c r="V78" s="30"/>
      <c r="W78" s="30"/>
      <c r="X78" s="30"/>
      <c r="Y78" s="30"/>
      <c r="Z78" s="30"/>
      <c r="AA78" s="30"/>
      <c r="AB78" s="30"/>
      <c r="AC78" s="30"/>
    </row>
    <row r="79" ht="39.75" customHeight="1">
      <c r="A79" s="30"/>
      <c r="B79" s="31"/>
      <c r="C79" s="30"/>
      <c r="D79" s="30"/>
      <c r="E79" s="30"/>
      <c r="F79" s="30"/>
      <c r="G79" s="30"/>
      <c r="H79" s="30"/>
      <c r="I79" s="32"/>
      <c r="J79" s="30"/>
      <c r="K79" s="30"/>
      <c r="L79" s="30"/>
      <c r="M79" s="30"/>
      <c r="N79" s="30"/>
      <c r="O79" s="30"/>
      <c r="P79" s="30"/>
      <c r="Q79" s="30"/>
      <c r="R79" s="30"/>
      <c r="S79" s="30"/>
      <c r="T79" s="30"/>
      <c r="U79" s="30"/>
      <c r="V79" s="30"/>
      <c r="W79" s="30"/>
      <c r="X79" s="30"/>
      <c r="Y79" s="30"/>
      <c r="Z79" s="30"/>
      <c r="AA79" s="30"/>
      <c r="AB79" s="30"/>
      <c r="AC79" s="30"/>
    </row>
    <row r="80" ht="39.75" customHeight="1">
      <c r="A80" s="30"/>
      <c r="B80" s="31"/>
      <c r="C80" s="30"/>
      <c r="D80" s="30"/>
      <c r="E80" s="30"/>
      <c r="F80" s="30"/>
      <c r="G80" s="30"/>
      <c r="H80" s="30"/>
      <c r="I80" s="32"/>
      <c r="J80" s="30"/>
      <c r="K80" s="30"/>
      <c r="L80" s="30"/>
      <c r="M80" s="30"/>
      <c r="N80" s="30"/>
      <c r="O80" s="30"/>
      <c r="P80" s="30"/>
      <c r="Q80" s="30"/>
      <c r="R80" s="30"/>
      <c r="S80" s="30"/>
      <c r="T80" s="30"/>
      <c r="U80" s="30"/>
      <c r="V80" s="30"/>
      <c r="W80" s="30"/>
      <c r="X80" s="30"/>
      <c r="Y80" s="30"/>
      <c r="Z80" s="30"/>
      <c r="AA80" s="30"/>
      <c r="AB80" s="30"/>
      <c r="AC80" s="30"/>
    </row>
    <row r="81" ht="39.75" customHeight="1">
      <c r="A81" s="30"/>
      <c r="B81" s="31"/>
      <c r="C81" s="30"/>
      <c r="D81" s="30"/>
      <c r="E81" s="30"/>
      <c r="F81" s="30"/>
      <c r="G81" s="30"/>
      <c r="H81" s="30"/>
      <c r="I81" s="32"/>
      <c r="J81" s="30"/>
      <c r="K81" s="30"/>
      <c r="L81" s="30"/>
      <c r="M81" s="30"/>
      <c r="N81" s="30"/>
      <c r="O81" s="30"/>
      <c r="P81" s="30"/>
      <c r="Q81" s="30"/>
      <c r="R81" s="30"/>
      <c r="S81" s="30"/>
      <c r="T81" s="30"/>
      <c r="U81" s="30"/>
      <c r="V81" s="30"/>
      <c r="W81" s="30"/>
      <c r="X81" s="30"/>
      <c r="Y81" s="30"/>
      <c r="Z81" s="30"/>
      <c r="AA81" s="30"/>
      <c r="AB81" s="30"/>
      <c r="AC81" s="30"/>
    </row>
    <row r="82" ht="39.75" customHeight="1">
      <c r="A82" s="30"/>
      <c r="B82" s="31"/>
      <c r="C82" s="30"/>
      <c r="D82" s="30"/>
      <c r="E82" s="30"/>
      <c r="F82" s="30"/>
      <c r="G82" s="30"/>
      <c r="H82" s="30"/>
      <c r="I82" s="32"/>
      <c r="J82" s="30"/>
      <c r="K82" s="30"/>
      <c r="L82" s="30"/>
      <c r="M82" s="30"/>
      <c r="N82" s="30"/>
      <c r="O82" s="30"/>
      <c r="P82" s="30"/>
      <c r="Q82" s="30"/>
      <c r="R82" s="30"/>
      <c r="S82" s="30"/>
      <c r="T82" s="30"/>
      <c r="U82" s="30"/>
      <c r="V82" s="30"/>
      <c r="W82" s="30"/>
      <c r="X82" s="30"/>
      <c r="Y82" s="30"/>
      <c r="Z82" s="30"/>
      <c r="AA82" s="30"/>
      <c r="AB82" s="30"/>
      <c r="AC82" s="30"/>
    </row>
    <row r="83" ht="39.75" customHeight="1">
      <c r="A83" s="30"/>
      <c r="B83" s="31"/>
      <c r="C83" s="30"/>
      <c r="D83" s="30"/>
      <c r="E83" s="30"/>
      <c r="F83" s="30"/>
      <c r="G83" s="30"/>
      <c r="H83" s="30"/>
      <c r="I83" s="32"/>
      <c r="J83" s="30"/>
      <c r="K83" s="30"/>
      <c r="L83" s="30"/>
      <c r="M83" s="30"/>
      <c r="N83" s="30"/>
      <c r="O83" s="30"/>
      <c r="P83" s="30"/>
      <c r="Q83" s="30"/>
      <c r="R83" s="30"/>
      <c r="S83" s="30"/>
      <c r="T83" s="30"/>
      <c r="U83" s="30"/>
      <c r="V83" s="30"/>
      <c r="W83" s="30"/>
      <c r="X83" s="30"/>
      <c r="Y83" s="30"/>
      <c r="Z83" s="30"/>
      <c r="AA83" s="30"/>
      <c r="AB83" s="30"/>
      <c r="AC83" s="30"/>
    </row>
    <row r="84" ht="39.75" customHeight="1">
      <c r="A84" s="30"/>
      <c r="B84" s="31"/>
      <c r="C84" s="30"/>
      <c r="D84" s="30"/>
      <c r="E84" s="30"/>
      <c r="F84" s="30"/>
      <c r="G84" s="30"/>
      <c r="H84" s="30"/>
      <c r="I84" s="32"/>
      <c r="J84" s="30"/>
      <c r="K84" s="30"/>
      <c r="L84" s="30"/>
      <c r="M84" s="30"/>
      <c r="N84" s="30"/>
      <c r="O84" s="30"/>
      <c r="P84" s="30"/>
      <c r="Q84" s="30"/>
      <c r="R84" s="30"/>
      <c r="S84" s="30"/>
      <c r="T84" s="30"/>
      <c r="U84" s="30"/>
      <c r="V84" s="30"/>
      <c r="W84" s="30"/>
      <c r="X84" s="30"/>
      <c r="Y84" s="30"/>
      <c r="Z84" s="30"/>
      <c r="AA84" s="30"/>
      <c r="AB84" s="30"/>
      <c r="AC84" s="30"/>
    </row>
    <row r="85" ht="39.75" customHeight="1">
      <c r="A85" s="30"/>
      <c r="B85" s="31"/>
      <c r="C85" s="30"/>
      <c r="D85" s="30"/>
      <c r="E85" s="30"/>
      <c r="F85" s="30"/>
      <c r="G85" s="30"/>
      <c r="H85" s="30"/>
      <c r="I85" s="32"/>
      <c r="J85" s="30"/>
      <c r="K85" s="30"/>
      <c r="L85" s="30"/>
      <c r="M85" s="30"/>
      <c r="N85" s="30"/>
      <c r="O85" s="30"/>
      <c r="P85" s="30"/>
      <c r="Q85" s="30"/>
      <c r="R85" s="30"/>
      <c r="S85" s="30"/>
      <c r="T85" s="30"/>
      <c r="U85" s="30"/>
      <c r="V85" s="30"/>
      <c r="W85" s="30"/>
      <c r="X85" s="30"/>
      <c r="Y85" s="30"/>
      <c r="Z85" s="30"/>
      <c r="AA85" s="30"/>
      <c r="AB85" s="30"/>
      <c r="AC85" s="30"/>
    </row>
    <row r="86" ht="39.75" customHeight="1">
      <c r="A86" s="30"/>
      <c r="B86" s="31"/>
      <c r="C86" s="30"/>
      <c r="D86" s="30"/>
      <c r="E86" s="30"/>
      <c r="F86" s="30"/>
      <c r="G86" s="30"/>
      <c r="H86" s="30"/>
      <c r="I86" s="32"/>
      <c r="J86" s="30"/>
      <c r="K86" s="30"/>
      <c r="L86" s="30"/>
      <c r="M86" s="30"/>
      <c r="N86" s="30"/>
      <c r="O86" s="30"/>
      <c r="P86" s="30"/>
      <c r="Q86" s="30"/>
      <c r="R86" s="30"/>
      <c r="S86" s="30"/>
      <c r="T86" s="30"/>
      <c r="U86" s="30"/>
      <c r="V86" s="30"/>
      <c r="W86" s="30"/>
      <c r="X86" s="30"/>
      <c r="Y86" s="30"/>
      <c r="Z86" s="30"/>
      <c r="AA86" s="30"/>
      <c r="AB86" s="30"/>
      <c r="AC86" s="30"/>
    </row>
    <row r="87" ht="39.75" customHeight="1">
      <c r="A87" s="30"/>
      <c r="B87" s="31"/>
      <c r="C87" s="30"/>
      <c r="D87" s="30"/>
      <c r="E87" s="30"/>
      <c r="F87" s="30"/>
      <c r="G87" s="30"/>
      <c r="H87" s="30"/>
      <c r="I87" s="32"/>
      <c r="J87" s="30"/>
      <c r="K87" s="30"/>
      <c r="L87" s="30"/>
      <c r="M87" s="30"/>
      <c r="N87" s="30"/>
      <c r="O87" s="30"/>
      <c r="P87" s="30"/>
      <c r="Q87" s="30"/>
      <c r="R87" s="30"/>
      <c r="S87" s="30"/>
      <c r="T87" s="30"/>
      <c r="U87" s="30"/>
      <c r="V87" s="30"/>
      <c r="W87" s="30"/>
      <c r="X87" s="30"/>
      <c r="Y87" s="30"/>
      <c r="Z87" s="30"/>
      <c r="AA87" s="30"/>
      <c r="AB87" s="30"/>
      <c r="AC87" s="30"/>
    </row>
    <row r="88" ht="39.75" customHeight="1">
      <c r="A88" s="30"/>
      <c r="B88" s="31"/>
      <c r="C88" s="30"/>
      <c r="D88" s="30"/>
      <c r="E88" s="30"/>
      <c r="F88" s="30"/>
      <c r="G88" s="30"/>
      <c r="H88" s="30"/>
      <c r="I88" s="32"/>
      <c r="J88" s="30"/>
      <c r="K88" s="30"/>
      <c r="L88" s="30"/>
      <c r="M88" s="30"/>
      <c r="N88" s="30"/>
      <c r="O88" s="30"/>
      <c r="P88" s="30"/>
      <c r="Q88" s="30"/>
      <c r="R88" s="30"/>
      <c r="S88" s="30"/>
      <c r="T88" s="30"/>
      <c r="U88" s="30"/>
      <c r="V88" s="30"/>
      <c r="W88" s="30"/>
      <c r="X88" s="30"/>
      <c r="Y88" s="30"/>
      <c r="Z88" s="30"/>
      <c r="AA88" s="30"/>
      <c r="AB88" s="30"/>
      <c r="AC88" s="30"/>
    </row>
    <row r="89" ht="39.75" customHeight="1">
      <c r="A89" s="30"/>
      <c r="B89" s="31"/>
      <c r="C89" s="30"/>
      <c r="D89" s="30"/>
      <c r="E89" s="30"/>
      <c r="F89" s="30"/>
      <c r="G89" s="30"/>
      <c r="H89" s="30"/>
      <c r="I89" s="32"/>
      <c r="J89" s="30"/>
      <c r="K89" s="30"/>
      <c r="L89" s="30"/>
      <c r="M89" s="30"/>
      <c r="N89" s="30"/>
      <c r="O89" s="30"/>
      <c r="P89" s="30"/>
      <c r="Q89" s="30"/>
      <c r="R89" s="30"/>
      <c r="S89" s="30"/>
      <c r="T89" s="30"/>
      <c r="U89" s="30"/>
      <c r="V89" s="30"/>
      <c r="W89" s="30"/>
      <c r="X89" s="30"/>
      <c r="Y89" s="30"/>
      <c r="Z89" s="30"/>
      <c r="AA89" s="30"/>
      <c r="AB89" s="30"/>
      <c r="AC89" s="30"/>
    </row>
    <row r="90" ht="39.75" customHeight="1">
      <c r="A90" s="30"/>
      <c r="B90" s="31"/>
      <c r="C90" s="30"/>
      <c r="D90" s="30"/>
      <c r="E90" s="30"/>
      <c r="F90" s="30"/>
      <c r="G90" s="30"/>
      <c r="H90" s="30"/>
      <c r="I90" s="32"/>
      <c r="J90" s="30"/>
      <c r="K90" s="30"/>
      <c r="L90" s="30"/>
      <c r="M90" s="30"/>
      <c r="N90" s="30"/>
      <c r="O90" s="30"/>
      <c r="P90" s="30"/>
      <c r="Q90" s="30"/>
      <c r="R90" s="30"/>
      <c r="S90" s="30"/>
      <c r="T90" s="30"/>
      <c r="U90" s="30"/>
      <c r="V90" s="30"/>
      <c r="W90" s="30"/>
      <c r="X90" s="30"/>
      <c r="Y90" s="30"/>
      <c r="Z90" s="30"/>
      <c r="AA90" s="30"/>
      <c r="AB90" s="30"/>
      <c r="AC90" s="30"/>
    </row>
    <row r="91" ht="39.75" customHeight="1">
      <c r="A91" s="30"/>
      <c r="B91" s="31"/>
      <c r="C91" s="30"/>
      <c r="D91" s="30"/>
      <c r="E91" s="30"/>
      <c r="F91" s="30"/>
      <c r="G91" s="30"/>
      <c r="H91" s="30"/>
      <c r="I91" s="32"/>
      <c r="J91" s="30"/>
      <c r="K91" s="30"/>
      <c r="L91" s="30"/>
      <c r="M91" s="30"/>
      <c r="N91" s="30"/>
      <c r="O91" s="30"/>
      <c r="P91" s="30"/>
      <c r="Q91" s="30"/>
      <c r="R91" s="30"/>
      <c r="S91" s="30"/>
      <c r="T91" s="30"/>
      <c r="U91" s="30"/>
      <c r="V91" s="30"/>
      <c r="W91" s="30"/>
      <c r="X91" s="30"/>
      <c r="Y91" s="30"/>
      <c r="Z91" s="30"/>
      <c r="AA91" s="30"/>
      <c r="AB91" s="30"/>
      <c r="AC91" s="30"/>
    </row>
    <row r="92" ht="39.75" customHeight="1">
      <c r="A92" s="30"/>
      <c r="B92" s="31"/>
      <c r="C92" s="30"/>
      <c r="D92" s="30"/>
      <c r="E92" s="30"/>
      <c r="F92" s="30"/>
      <c r="G92" s="30"/>
      <c r="H92" s="30"/>
      <c r="I92" s="32"/>
      <c r="J92" s="30"/>
      <c r="K92" s="30"/>
      <c r="L92" s="30"/>
      <c r="M92" s="30"/>
      <c r="N92" s="30"/>
      <c r="O92" s="30"/>
      <c r="P92" s="30"/>
      <c r="Q92" s="30"/>
      <c r="R92" s="30"/>
      <c r="S92" s="30"/>
      <c r="T92" s="30"/>
      <c r="U92" s="30"/>
      <c r="V92" s="30"/>
      <c r="W92" s="30"/>
      <c r="X92" s="30"/>
      <c r="Y92" s="30"/>
      <c r="Z92" s="30"/>
      <c r="AA92" s="30"/>
      <c r="AB92" s="30"/>
      <c r="AC92" s="30"/>
    </row>
    <row r="93" ht="39.75" customHeight="1">
      <c r="A93" s="30"/>
      <c r="B93" s="31"/>
      <c r="C93" s="30"/>
      <c r="D93" s="30"/>
      <c r="E93" s="30"/>
      <c r="F93" s="30"/>
      <c r="G93" s="30"/>
      <c r="H93" s="30"/>
      <c r="I93" s="32"/>
      <c r="J93" s="30"/>
      <c r="K93" s="30"/>
      <c r="L93" s="30"/>
      <c r="M93" s="30"/>
      <c r="N93" s="30"/>
      <c r="O93" s="30"/>
      <c r="P93" s="30"/>
      <c r="Q93" s="30"/>
      <c r="R93" s="30"/>
      <c r="S93" s="30"/>
      <c r="T93" s="30"/>
      <c r="U93" s="30"/>
      <c r="V93" s="30"/>
      <c r="W93" s="30"/>
      <c r="X93" s="30"/>
      <c r="Y93" s="30"/>
      <c r="Z93" s="30"/>
      <c r="AA93" s="30"/>
      <c r="AB93" s="30"/>
      <c r="AC93" s="30"/>
    </row>
    <row r="94" ht="39.75" customHeight="1">
      <c r="A94" s="30"/>
      <c r="B94" s="31"/>
      <c r="C94" s="30"/>
      <c r="D94" s="30"/>
      <c r="E94" s="30"/>
      <c r="F94" s="30"/>
      <c r="G94" s="30"/>
      <c r="H94" s="30"/>
      <c r="I94" s="32"/>
      <c r="J94" s="30"/>
      <c r="K94" s="30"/>
      <c r="L94" s="30"/>
      <c r="M94" s="30"/>
      <c r="N94" s="30"/>
      <c r="O94" s="30"/>
      <c r="P94" s="30"/>
      <c r="Q94" s="30"/>
      <c r="R94" s="30"/>
      <c r="S94" s="30"/>
      <c r="T94" s="30"/>
      <c r="U94" s="30"/>
      <c r="V94" s="30"/>
      <c r="W94" s="30"/>
      <c r="X94" s="30"/>
      <c r="Y94" s="30"/>
      <c r="Z94" s="30"/>
      <c r="AA94" s="30"/>
      <c r="AB94" s="30"/>
      <c r="AC94" s="30"/>
    </row>
    <row r="95" ht="39.75" customHeight="1">
      <c r="A95" s="30"/>
      <c r="B95" s="31"/>
      <c r="C95" s="30"/>
      <c r="D95" s="30"/>
      <c r="E95" s="30"/>
      <c r="F95" s="30"/>
      <c r="G95" s="30"/>
      <c r="H95" s="30"/>
      <c r="I95" s="32"/>
      <c r="J95" s="30"/>
      <c r="K95" s="30"/>
      <c r="L95" s="30"/>
      <c r="M95" s="30"/>
      <c r="N95" s="30"/>
      <c r="O95" s="30"/>
      <c r="P95" s="30"/>
      <c r="Q95" s="30"/>
      <c r="R95" s="30"/>
      <c r="S95" s="30"/>
      <c r="T95" s="30"/>
      <c r="U95" s="30"/>
      <c r="V95" s="30"/>
      <c r="W95" s="30"/>
      <c r="X95" s="30"/>
      <c r="Y95" s="30"/>
      <c r="Z95" s="30"/>
      <c r="AA95" s="30"/>
      <c r="AB95" s="30"/>
      <c r="AC95" s="30"/>
    </row>
    <row r="96" ht="39.75" customHeight="1">
      <c r="A96" s="30"/>
      <c r="B96" s="31"/>
      <c r="C96" s="30"/>
      <c r="D96" s="30"/>
      <c r="E96" s="30"/>
      <c r="F96" s="30"/>
      <c r="G96" s="30"/>
      <c r="H96" s="30"/>
      <c r="I96" s="32"/>
      <c r="J96" s="30"/>
      <c r="K96" s="30"/>
      <c r="L96" s="30"/>
      <c r="M96" s="30"/>
      <c r="N96" s="30"/>
      <c r="O96" s="30"/>
      <c r="P96" s="30"/>
      <c r="Q96" s="30"/>
      <c r="R96" s="30"/>
      <c r="S96" s="30"/>
      <c r="T96" s="30"/>
      <c r="U96" s="30"/>
      <c r="V96" s="30"/>
      <c r="W96" s="30"/>
      <c r="X96" s="30"/>
      <c r="Y96" s="30"/>
      <c r="Z96" s="30"/>
      <c r="AA96" s="30"/>
      <c r="AB96" s="30"/>
      <c r="AC96" s="30"/>
    </row>
    <row r="97" ht="39.75" customHeight="1">
      <c r="A97" s="30"/>
      <c r="B97" s="31"/>
      <c r="C97" s="30"/>
      <c r="D97" s="30"/>
      <c r="E97" s="30"/>
      <c r="F97" s="30"/>
      <c r="G97" s="30"/>
      <c r="H97" s="30"/>
      <c r="I97" s="32"/>
      <c r="J97" s="30"/>
      <c r="K97" s="30"/>
      <c r="L97" s="30"/>
      <c r="M97" s="30"/>
      <c r="N97" s="30"/>
      <c r="O97" s="30"/>
      <c r="P97" s="30"/>
      <c r="Q97" s="30"/>
      <c r="R97" s="30"/>
      <c r="S97" s="30"/>
      <c r="T97" s="30"/>
      <c r="U97" s="30"/>
      <c r="V97" s="30"/>
      <c r="W97" s="30"/>
      <c r="X97" s="30"/>
      <c r="Y97" s="30"/>
      <c r="Z97" s="30"/>
      <c r="AA97" s="30"/>
      <c r="AB97" s="30"/>
      <c r="AC97" s="30"/>
    </row>
    <row r="98" ht="39.75" customHeight="1">
      <c r="A98" s="30"/>
      <c r="B98" s="31"/>
      <c r="C98" s="30"/>
      <c r="D98" s="30"/>
      <c r="E98" s="30"/>
      <c r="F98" s="30"/>
      <c r="G98" s="30"/>
      <c r="H98" s="30"/>
      <c r="I98" s="32"/>
      <c r="J98" s="30"/>
      <c r="K98" s="30"/>
      <c r="L98" s="30"/>
      <c r="M98" s="30"/>
      <c r="N98" s="30"/>
      <c r="O98" s="30"/>
      <c r="P98" s="30"/>
      <c r="Q98" s="30"/>
      <c r="R98" s="30"/>
      <c r="S98" s="30"/>
      <c r="T98" s="30"/>
      <c r="U98" s="30"/>
      <c r="V98" s="30"/>
      <c r="W98" s="30"/>
      <c r="X98" s="30"/>
      <c r="Y98" s="30"/>
      <c r="Z98" s="30"/>
      <c r="AA98" s="30"/>
      <c r="AB98" s="30"/>
      <c r="AC98" s="30"/>
    </row>
    <row r="99" ht="39.75" customHeight="1">
      <c r="A99" s="30"/>
      <c r="B99" s="31"/>
      <c r="C99" s="30"/>
      <c r="D99" s="30"/>
      <c r="E99" s="30"/>
      <c r="F99" s="30"/>
      <c r="G99" s="30"/>
      <c r="H99" s="30"/>
      <c r="I99" s="32"/>
      <c r="J99" s="30"/>
      <c r="K99" s="30"/>
      <c r="L99" s="30"/>
      <c r="M99" s="30"/>
      <c r="N99" s="30"/>
      <c r="O99" s="30"/>
      <c r="P99" s="30"/>
      <c r="Q99" s="30"/>
      <c r="R99" s="30"/>
      <c r="S99" s="30"/>
      <c r="T99" s="30"/>
      <c r="U99" s="30"/>
      <c r="V99" s="30"/>
      <c r="W99" s="30"/>
      <c r="X99" s="30"/>
      <c r="Y99" s="30"/>
      <c r="Z99" s="30"/>
      <c r="AA99" s="30"/>
      <c r="AB99" s="30"/>
      <c r="AC99" s="30"/>
    </row>
    <row r="100" ht="39.75" customHeight="1">
      <c r="A100" s="30"/>
      <c r="B100" s="31"/>
      <c r="C100" s="30"/>
      <c r="D100" s="30"/>
      <c r="E100" s="30"/>
      <c r="F100" s="30"/>
      <c r="G100" s="30"/>
      <c r="H100" s="30"/>
      <c r="I100" s="32"/>
      <c r="J100" s="30"/>
      <c r="K100" s="30"/>
      <c r="L100" s="30"/>
      <c r="M100" s="30"/>
      <c r="N100" s="30"/>
      <c r="O100" s="30"/>
      <c r="P100" s="30"/>
      <c r="Q100" s="30"/>
      <c r="R100" s="30"/>
      <c r="S100" s="30"/>
      <c r="T100" s="30"/>
      <c r="U100" s="30"/>
      <c r="V100" s="30"/>
      <c r="W100" s="30"/>
      <c r="X100" s="30"/>
      <c r="Y100" s="30"/>
      <c r="Z100" s="30"/>
      <c r="AA100" s="30"/>
      <c r="AB100" s="30"/>
      <c r="AC100" s="30"/>
    </row>
    <row r="101" ht="39.75" customHeight="1">
      <c r="A101" s="30"/>
      <c r="B101" s="31"/>
      <c r="C101" s="30"/>
      <c r="D101" s="30"/>
      <c r="E101" s="30"/>
      <c r="F101" s="30"/>
      <c r="G101" s="30"/>
      <c r="H101" s="30"/>
      <c r="I101" s="32"/>
      <c r="J101" s="30"/>
      <c r="K101" s="30"/>
      <c r="L101" s="30"/>
      <c r="M101" s="30"/>
      <c r="N101" s="30"/>
      <c r="O101" s="30"/>
      <c r="P101" s="30"/>
      <c r="Q101" s="30"/>
      <c r="R101" s="30"/>
      <c r="S101" s="30"/>
      <c r="T101" s="30"/>
      <c r="U101" s="30"/>
      <c r="V101" s="30"/>
      <c r="W101" s="30"/>
      <c r="X101" s="30"/>
      <c r="Y101" s="30"/>
      <c r="Z101" s="30"/>
      <c r="AA101" s="30"/>
      <c r="AB101" s="30"/>
      <c r="AC101" s="30"/>
    </row>
    <row r="102" ht="39.75" customHeight="1">
      <c r="A102" s="30"/>
      <c r="B102" s="31"/>
      <c r="C102" s="30"/>
      <c r="D102" s="30"/>
      <c r="E102" s="30"/>
      <c r="F102" s="30"/>
      <c r="G102" s="30"/>
      <c r="H102" s="30"/>
      <c r="I102" s="32"/>
      <c r="J102" s="30"/>
      <c r="K102" s="30"/>
      <c r="L102" s="30"/>
      <c r="M102" s="30"/>
      <c r="N102" s="30"/>
      <c r="O102" s="30"/>
      <c r="P102" s="30"/>
      <c r="Q102" s="30"/>
      <c r="R102" s="30"/>
      <c r="S102" s="30"/>
      <c r="T102" s="30"/>
      <c r="U102" s="30"/>
      <c r="V102" s="30"/>
      <c r="W102" s="30"/>
      <c r="X102" s="30"/>
      <c r="Y102" s="30"/>
      <c r="Z102" s="30"/>
      <c r="AA102" s="30"/>
      <c r="AB102" s="30"/>
      <c r="AC102" s="30"/>
    </row>
    <row r="103" ht="39.75" customHeight="1">
      <c r="A103" s="30"/>
      <c r="B103" s="31"/>
      <c r="C103" s="30"/>
      <c r="D103" s="30"/>
      <c r="E103" s="30"/>
      <c r="F103" s="30"/>
      <c r="G103" s="30"/>
      <c r="H103" s="30"/>
      <c r="I103" s="32"/>
      <c r="J103" s="30"/>
      <c r="K103" s="30"/>
      <c r="L103" s="30"/>
      <c r="M103" s="30"/>
      <c r="N103" s="30"/>
      <c r="O103" s="30"/>
      <c r="P103" s="30"/>
      <c r="Q103" s="30"/>
      <c r="R103" s="30"/>
      <c r="S103" s="30"/>
      <c r="T103" s="30"/>
      <c r="U103" s="30"/>
      <c r="V103" s="30"/>
      <c r="W103" s="30"/>
      <c r="X103" s="30"/>
      <c r="Y103" s="30"/>
      <c r="Z103" s="30"/>
      <c r="AA103" s="30"/>
      <c r="AB103" s="30"/>
      <c r="AC103" s="30"/>
    </row>
    <row r="104" ht="39.75" customHeight="1">
      <c r="A104" s="30"/>
      <c r="B104" s="31"/>
      <c r="C104" s="30"/>
      <c r="D104" s="30"/>
      <c r="E104" s="30"/>
      <c r="F104" s="30"/>
      <c r="G104" s="30"/>
      <c r="H104" s="30"/>
      <c r="I104" s="32"/>
      <c r="J104" s="30"/>
      <c r="K104" s="30"/>
      <c r="L104" s="30"/>
      <c r="M104" s="30"/>
      <c r="N104" s="30"/>
      <c r="O104" s="30"/>
      <c r="P104" s="30"/>
      <c r="Q104" s="30"/>
      <c r="R104" s="30"/>
      <c r="S104" s="30"/>
      <c r="T104" s="30"/>
      <c r="U104" s="30"/>
      <c r="V104" s="30"/>
      <c r="W104" s="30"/>
      <c r="X104" s="30"/>
      <c r="Y104" s="30"/>
      <c r="Z104" s="30"/>
      <c r="AA104" s="30"/>
      <c r="AB104" s="30"/>
      <c r="AC104" s="30"/>
    </row>
    <row r="105" ht="39.75" customHeight="1">
      <c r="A105" s="30"/>
      <c r="B105" s="31"/>
      <c r="C105" s="30"/>
      <c r="D105" s="30"/>
      <c r="E105" s="30"/>
      <c r="F105" s="30"/>
      <c r="G105" s="30"/>
      <c r="H105" s="30"/>
      <c r="I105" s="32"/>
      <c r="J105" s="30"/>
      <c r="K105" s="30"/>
      <c r="L105" s="30"/>
      <c r="M105" s="30"/>
      <c r="N105" s="30"/>
      <c r="O105" s="30"/>
      <c r="P105" s="30"/>
      <c r="Q105" s="30"/>
      <c r="R105" s="30"/>
      <c r="S105" s="30"/>
      <c r="T105" s="30"/>
      <c r="U105" s="30"/>
      <c r="V105" s="30"/>
      <c r="W105" s="30"/>
      <c r="X105" s="30"/>
      <c r="Y105" s="30"/>
      <c r="Z105" s="30"/>
      <c r="AA105" s="30"/>
      <c r="AB105" s="30"/>
      <c r="AC105" s="30"/>
    </row>
    <row r="106" ht="39.75" customHeight="1">
      <c r="A106" s="30"/>
      <c r="B106" s="31"/>
      <c r="C106" s="30"/>
      <c r="D106" s="30"/>
      <c r="E106" s="30"/>
      <c r="F106" s="30"/>
      <c r="G106" s="30"/>
      <c r="H106" s="30"/>
      <c r="I106" s="32"/>
      <c r="J106" s="30"/>
      <c r="K106" s="30"/>
      <c r="L106" s="30"/>
      <c r="M106" s="30"/>
      <c r="N106" s="30"/>
      <c r="O106" s="30"/>
      <c r="P106" s="30"/>
      <c r="Q106" s="30"/>
      <c r="R106" s="30"/>
      <c r="S106" s="30"/>
      <c r="T106" s="30"/>
      <c r="U106" s="30"/>
      <c r="V106" s="30"/>
      <c r="W106" s="30"/>
      <c r="X106" s="30"/>
      <c r="Y106" s="30"/>
      <c r="Z106" s="30"/>
      <c r="AA106" s="30"/>
      <c r="AB106" s="30"/>
      <c r="AC106" s="30"/>
    </row>
    <row r="107" ht="39.75" customHeight="1">
      <c r="A107" s="30"/>
      <c r="B107" s="31"/>
      <c r="C107" s="30"/>
      <c r="D107" s="30"/>
      <c r="E107" s="30"/>
      <c r="F107" s="30"/>
      <c r="G107" s="30"/>
      <c r="H107" s="30"/>
      <c r="I107" s="32"/>
      <c r="J107" s="30"/>
      <c r="K107" s="30"/>
      <c r="L107" s="30"/>
      <c r="M107" s="30"/>
      <c r="N107" s="30"/>
      <c r="O107" s="30"/>
      <c r="P107" s="30"/>
      <c r="Q107" s="30"/>
      <c r="R107" s="30"/>
      <c r="S107" s="30"/>
      <c r="T107" s="30"/>
      <c r="U107" s="30"/>
      <c r="V107" s="30"/>
      <c r="W107" s="30"/>
      <c r="X107" s="30"/>
      <c r="Y107" s="30"/>
      <c r="Z107" s="30"/>
      <c r="AA107" s="30"/>
      <c r="AB107" s="30"/>
      <c r="AC107" s="30"/>
    </row>
    <row r="108" ht="39.75" customHeight="1">
      <c r="A108" s="30"/>
      <c r="B108" s="31"/>
      <c r="C108" s="30"/>
      <c r="D108" s="30"/>
      <c r="E108" s="30"/>
      <c r="F108" s="30"/>
      <c r="G108" s="30"/>
      <c r="H108" s="30"/>
      <c r="I108" s="32"/>
      <c r="J108" s="30"/>
      <c r="K108" s="30"/>
      <c r="L108" s="30"/>
      <c r="M108" s="30"/>
      <c r="N108" s="30"/>
      <c r="O108" s="30"/>
      <c r="P108" s="30"/>
      <c r="Q108" s="30"/>
      <c r="R108" s="30"/>
      <c r="S108" s="30"/>
      <c r="T108" s="30"/>
      <c r="U108" s="30"/>
      <c r="V108" s="30"/>
      <c r="W108" s="30"/>
      <c r="X108" s="30"/>
      <c r="Y108" s="30"/>
      <c r="Z108" s="30"/>
      <c r="AA108" s="30"/>
      <c r="AB108" s="30"/>
      <c r="AC108" s="30"/>
    </row>
    <row r="109" ht="39.75" customHeight="1">
      <c r="A109" s="30"/>
      <c r="B109" s="31"/>
      <c r="C109" s="30"/>
      <c r="D109" s="30"/>
      <c r="E109" s="30"/>
      <c r="F109" s="30"/>
      <c r="G109" s="30"/>
      <c r="H109" s="30"/>
      <c r="I109" s="32"/>
      <c r="J109" s="30"/>
      <c r="K109" s="30"/>
      <c r="L109" s="30"/>
      <c r="M109" s="30"/>
      <c r="N109" s="30"/>
      <c r="O109" s="30"/>
      <c r="P109" s="30"/>
      <c r="Q109" s="30"/>
      <c r="R109" s="30"/>
      <c r="S109" s="30"/>
      <c r="T109" s="30"/>
      <c r="U109" s="30"/>
      <c r="V109" s="30"/>
      <c r="W109" s="30"/>
      <c r="X109" s="30"/>
      <c r="Y109" s="30"/>
      <c r="Z109" s="30"/>
      <c r="AA109" s="30"/>
      <c r="AB109" s="30"/>
      <c r="AC109" s="30"/>
    </row>
    <row r="110" ht="39.75" customHeight="1">
      <c r="A110" s="30"/>
      <c r="B110" s="31"/>
      <c r="C110" s="30"/>
      <c r="D110" s="30"/>
      <c r="E110" s="30"/>
      <c r="F110" s="30"/>
      <c r="G110" s="30"/>
      <c r="H110" s="30"/>
      <c r="I110" s="32"/>
      <c r="J110" s="30"/>
      <c r="K110" s="30"/>
      <c r="L110" s="30"/>
      <c r="M110" s="30"/>
      <c r="N110" s="30"/>
      <c r="O110" s="30"/>
      <c r="P110" s="30"/>
      <c r="Q110" s="30"/>
      <c r="R110" s="30"/>
      <c r="S110" s="30"/>
      <c r="T110" s="30"/>
      <c r="U110" s="30"/>
      <c r="V110" s="30"/>
      <c r="W110" s="30"/>
      <c r="X110" s="30"/>
      <c r="Y110" s="30"/>
      <c r="Z110" s="30"/>
      <c r="AA110" s="30"/>
      <c r="AB110" s="30"/>
      <c r="AC110" s="30"/>
    </row>
    <row r="111" ht="39.75" customHeight="1">
      <c r="A111" s="30"/>
      <c r="B111" s="31"/>
      <c r="C111" s="30"/>
      <c r="D111" s="30"/>
      <c r="E111" s="30"/>
      <c r="F111" s="30"/>
      <c r="G111" s="30"/>
      <c r="H111" s="30"/>
      <c r="I111" s="32"/>
      <c r="J111" s="30"/>
      <c r="K111" s="30"/>
      <c r="L111" s="30"/>
      <c r="M111" s="30"/>
      <c r="N111" s="30"/>
      <c r="O111" s="30"/>
      <c r="P111" s="30"/>
      <c r="Q111" s="30"/>
      <c r="R111" s="30"/>
      <c r="S111" s="30"/>
      <c r="T111" s="30"/>
      <c r="U111" s="30"/>
      <c r="V111" s="30"/>
      <c r="W111" s="30"/>
      <c r="X111" s="30"/>
      <c r="Y111" s="30"/>
      <c r="Z111" s="30"/>
      <c r="AA111" s="30"/>
      <c r="AB111" s="30"/>
      <c r="AC111" s="30"/>
    </row>
    <row r="112" ht="39.75" customHeight="1">
      <c r="A112" s="30"/>
      <c r="B112" s="31"/>
      <c r="C112" s="30"/>
      <c r="D112" s="30"/>
      <c r="E112" s="30"/>
      <c r="F112" s="30"/>
      <c r="G112" s="30"/>
      <c r="H112" s="30"/>
      <c r="I112" s="32"/>
      <c r="J112" s="30"/>
      <c r="K112" s="30"/>
      <c r="L112" s="30"/>
      <c r="M112" s="30"/>
      <c r="N112" s="30"/>
      <c r="O112" s="30"/>
      <c r="P112" s="30"/>
      <c r="Q112" s="30"/>
      <c r="R112" s="30"/>
      <c r="S112" s="30"/>
      <c r="T112" s="30"/>
      <c r="U112" s="30"/>
      <c r="V112" s="30"/>
      <c r="W112" s="30"/>
      <c r="X112" s="30"/>
      <c r="Y112" s="30"/>
      <c r="Z112" s="30"/>
      <c r="AA112" s="30"/>
      <c r="AB112" s="30"/>
      <c r="AC112" s="30"/>
    </row>
    <row r="113" ht="39.75" customHeight="1">
      <c r="A113" s="30"/>
      <c r="B113" s="31"/>
      <c r="C113" s="30"/>
      <c r="D113" s="30"/>
      <c r="E113" s="30"/>
      <c r="F113" s="30"/>
      <c r="G113" s="30"/>
      <c r="H113" s="30"/>
      <c r="I113" s="32"/>
      <c r="J113" s="30"/>
      <c r="K113" s="30"/>
      <c r="L113" s="30"/>
      <c r="M113" s="30"/>
      <c r="N113" s="30"/>
      <c r="O113" s="30"/>
      <c r="P113" s="30"/>
      <c r="Q113" s="30"/>
      <c r="R113" s="30"/>
      <c r="S113" s="30"/>
      <c r="T113" s="30"/>
      <c r="U113" s="30"/>
      <c r="V113" s="30"/>
      <c r="W113" s="30"/>
      <c r="X113" s="30"/>
      <c r="Y113" s="30"/>
      <c r="Z113" s="30"/>
      <c r="AA113" s="30"/>
      <c r="AB113" s="30"/>
      <c r="AC113" s="30"/>
    </row>
    <row r="114" ht="39.75" customHeight="1">
      <c r="A114" s="30"/>
      <c r="B114" s="31"/>
      <c r="C114" s="30"/>
      <c r="D114" s="30"/>
      <c r="E114" s="30"/>
      <c r="F114" s="30"/>
      <c r="G114" s="30"/>
      <c r="H114" s="30"/>
      <c r="I114" s="32"/>
      <c r="J114" s="30"/>
      <c r="K114" s="30"/>
      <c r="L114" s="30"/>
      <c r="M114" s="30"/>
      <c r="N114" s="30"/>
      <c r="O114" s="30"/>
      <c r="P114" s="30"/>
      <c r="Q114" s="30"/>
      <c r="R114" s="30"/>
      <c r="S114" s="30"/>
      <c r="T114" s="30"/>
      <c r="U114" s="30"/>
      <c r="V114" s="30"/>
      <c r="W114" s="30"/>
      <c r="X114" s="30"/>
      <c r="Y114" s="30"/>
      <c r="Z114" s="30"/>
      <c r="AA114" s="30"/>
      <c r="AB114" s="30"/>
      <c r="AC114" s="30"/>
    </row>
    <row r="115" ht="39.75" customHeight="1">
      <c r="A115" s="30"/>
      <c r="B115" s="31"/>
      <c r="C115" s="30"/>
      <c r="D115" s="30"/>
      <c r="E115" s="30"/>
      <c r="F115" s="30"/>
      <c r="G115" s="30"/>
      <c r="H115" s="30"/>
      <c r="I115" s="32"/>
      <c r="J115" s="30"/>
      <c r="K115" s="30"/>
      <c r="L115" s="30"/>
      <c r="M115" s="30"/>
      <c r="N115" s="30"/>
      <c r="O115" s="30"/>
      <c r="P115" s="30"/>
      <c r="Q115" s="30"/>
      <c r="R115" s="30"/>
      <c r="S115" s="30"/>
      <c r="T115" s="30"/>
      <c r="U115" s="30"/>
      <c r="V115" s="30"/>
      <c r="W115" s="30"/>
      <c r="X115" s="30"/>
      <c r="Y115" s="30"/>
      <c r="Z115" s="30"/>
      <c r="AA115" s="30"/>
      <c r="AB115" s="30"/>
      <c r="AC115" s="30"/>
    </row>
    <row r="116" ht="39.75" customHeight="1">
      <c r="A116" s="30"/>
      <c r="B116" s="31"/>
      <c r="C116" s="30"/>
      <c r="D116" s="30"/>
      <c r="E116" s="30"/>
      <c r="F116" s="30"/>
      <c r="G116" s="30"/>
      <c r="H116" s="30"/>
      <c r="I116" s="32"/>
      <c r="J116" s="30"/>
      <c r="K116" s="30"/>
      <c r="L116" s="30"/>
      <c r="M116" s="30"/>
      <c r="N116" s="30"/>
      <c r="O116" s="30"/>
      <c r="P116" s="30"/>
      <c r="Q116" s="30"/>
      <c r="R116" s="30"/>
      <c r="S116" s="30"/>
      <c r="T116" s="30"/>
      <c r="U116" s="30"/>
      <c r="V116" s="30"/>
      <c r="W116" s="30"/>
      <c r="X116" s="30"/>
      <c r="Y116" s="30"/>
      <c r="Z116" s="30"/>
      <c r="AA116" s="30"/>
      <c r="AB116" s="30"/>
      <c r="AC116" s="30"/>
    </row>
    <row r="117" ht="39.75" customHeight="1">
      <c r="A117" s="30"/>
      <c r="B117" s="31"/>
      <c r="C117" s="30"/>
      <c r="D117" s="30"/>
      <c r="E117" s="30"/>
      <c r="F117" s="30"/>
      <c r="G117" s="30"/>
      <c r="H117" s="30"/>
      <c r="I117" s="32"/>
      <c r="J117" s="30"/>
      <c r="K117" s="30"/>
      <c r="L117" s="30"/>
      <c r="M117" s="30"/>
      <c r="N117" s="30"/>
      <c r="O117" s="30"/>
      <c r="P117" s="30"/>
      <c r="Q117" s="30"/>
      <c r="R117" s="30"/>
      <c r="S117" s="30"/>
      <c r="T117" s="30"/>
      <c r="U117" s="30"/>
      <c r="V117" s="30"/>
      <c r="W117" s="30"/>
      <c r="X117" s="30"/>
      <c r="Y117" s="30"/>
      <c r="Z117" s="30"/>
      <c r="AA117" s="30"/>
      <c r="AB117" s="30"/>
      <c r="AC117" s="30"/>
    </row>
    <row r="118" ht="39.75" customHeight="1">
      <c r="A118" s="30"/>
      <c r="B118" s="31"/>
      <c r="C118" s="30"/>
      <c r="D118" s="30"/>
      <c r="E118" s="30"/>
      <c r="F118" s="30"/>
      <c r="G118" s="30"/>
      <c r="H118" s="30"/>
      <c r="I118" s="32"/>
      <c r="J118" s="30"/>
      <c r="K118" s="30"/>
      <c r="L118" s="30"/>
      <c r="M118" s="30"/>
      <c r="N118" s="30"/>
      <c r="O118" s="30"/>
      <c r="P118" s="30"/>
      <c r="Q118" s="30"/>
      <c r="R118" s="30"/>
      <c r="S118" s="30"/>
      <c r="T118" s="30"/>
      <c r="U118" s="30"/>
      <c r="V118" s="30"/>
      <c r="W118" s="30"/>
      <c r="X118" s="30"/>
      <c r="Y118" s="30"/>
      <c r="Z118" s="30"/>
      <c r="AA118" s="30"/>
      <c r="AB118" s="30"/>
      <c r="AC118" s="30"/>
    </row>
    <row r="119" ht="39.75" customHeight="1">
      <c r="A119" s="30"/>
      <c r="B119" s="31"/>
      <c r="C119" s="30"/>
      <c r="D119" s="30"/>
      <c r="E119" s="30"/>
      <c r="F119" s="30"/>
      <c r="G119" s="30"/>
      <c r="H119" s="30"/>
      <c r="I119" s="32"/>
      <c r="J119" s="30"/>
      <c r="K119" s="30"/>
      <c r="L119" s="30"/>
      <c r="M119" s="30"/>
      <c r="N119" s="30"/>
      <c r="O119" s="30"/>
      <c r="P119" s="30"/>
      <c r="Q119" s="30"/>
      <c r="R119" s="30"/>
      <c r="S119" s="30"/>
      <c r="T119" s="30"/>
      <c r="U119" s="30"/>
      <c r="V119" s="30"/>
      <c r="W119" s="30"/>
      <c r="X119" s="30"/>
      <c r="Y119" s="30"/>
      <c r="Z119" s="30"/>
      <c r="AA119" s="30"/>
      <c r="AB119" s="30"/>
      <c r="AC119" s="30"/>
    </row>
    <row r="120" ht="39.75" customHeight="1">
      <c r="A120" s="30"/>
      <c r="B120" s="31"/>
      <c r="C120" s="30"/>
      <c r="D120" s="30"/>
      <c r="E120" s="30"/>
      <c r="F120" s="30"/>
      <c r="G120" s="30"/>
      <c r="H120" s="30"/>
      <c r="I120" s="32"/>
      <c r="J120" s="30"/>
      <c r="K120" s="30"/>
      <c r="L120" s="30"/>
      <c r="M120" s="30"/>
      <c r="N120" s="30"/>
      <c r="O120" s="30"/>
      <c r="P120" s="30"/>
      <c r="Q120" s="30"/>
      <c r="R120" s="30"/>
      <c r="S120" s="30"/>
      <c r="T120" s="30"/>
      <c r="U120" s="30"/>
      <c r="V120" s="30"/>
      <c r="W120" s="30"/>
      <c r="X120" s="30"/>
      <c r="Y120" s="30"/>
      <c r="Z120" s="30"/>
      <c r="AA120" s="30"/>
      <c r="AB120" s="30"/>
      <c r="AC120" s="30"/>
    </row>
    <row r="121" ht="39.75" customHeight="1">
      <c r="A121" s="30"/>
      <c r="B121" s="31"/>
      <c r="C121" s="30"/>
      <c r="D121" s="30"/>
      <c r="E121" s="30"/>
      <c r="F121" s="30"/>
      <c r="G121" s="30"/>
      <c r="H121" s="30"/>
      <c r="I121" s="32"/>
      <c r="J121" s="30"/>
      <c r="K121" s="30"/>
      <c r="L121" s="30"/>
      <c r="M121" s="30"/>
      <c r="N121" s="30"/>
      <c r="O121" s="30"/>
      <c r="P121" s="30"/>
      <c r="Q121" s="30"/>
      <c r="R121" s="30"/>
      <c r="S121" s="30"/>
      <c r="T121" s="30"/>
      <c r="U121" s="30"/>
      <c r="V121" s="30"/>
      <c r="W121" s="30"/>
      <c r="X121" s="30"/>
      <c r="Y121" s="30"/>
      <c r="Z121" s="30"/>
      <c r="AA121" s="30"/>
      <c r="AB121" s="30"/>
      <c r="AC121" s="30"/>
    </row>
    <row r="122" ht="39.75" customHeight="1">
      <c r="A122" s="30"/>
      <c r="B122" s="31"/>
      <c r="C122" s="30"/>
      <c r="D122" s="30"/>
      <c r="E122" s="30"/>
      <c r="F122" s="30"/>
      <c r="G122" s="30"/>
      <c r="H122" s="30"/>
      <c r="I122" s="32"/>
      <c r="J122" s="30"/>
      <c r="K122" s="30"/>
      <c r="L122" s="30"/>
      <c r="M122" s="30"/>
      <c r="N122" s="30"/>
      <c r="O122" s="30"/>
      <c r="P122" s="30"/>
      <c r="Q122" s="30"/>
      <c r="R122" s="30"/>
      <c r="S122" s="30"/>
      <c r="T122" s="30"/>
      <c r="U122" s="30"/>
      <c r="V122" s="30"/>
      <c r="W122" s="30"/>
      <c r="X122" s="30"/>
      <c r="Y122" s="30"/>
      <c r="Z122" s="30"/>
      <c r="AA122" s="30"/>
      <c r="AB122" s="30"/>
      <c r="AC122" s="30"/>
    </row>
    <row r="123" ht="39.75" customHeight="1">
      <c r="A123" s="30"/>
      <c r="B123" s="31"/>
      <c r="C123" s="30"/>
      <c r="D123" s="30"/>
      <c r="E123" s="30"/>
      <c r="F123" s="30"/>
      <c r="G123" s="30"/>
      <c r="H123" s="30"/>
      <c r="I123" s="32"/>
      <c r="J123" s="30"/>
      <c r="K123" s="30"/>
      <c r="L123" s="30"/>
      <c r="M123" s="30"/>
      <c r="N123" s="30"/>
      <c r="O123" s="30"/>
      <c r="P123" s="30"/>
      <c r="Q123" s="30"/>
      <c r="R123" s="30"/>
      <c r="S123" s="30"/>
      <c r="T123" s="30"/>
      <c r="U123" s="30"/>
      <c r="V123" s="30"/>
      <c r="W123" s="30"/>
      <c r="X123" s="30"/>
      <c r="Y123" s="30"/>
      <c r="Z123" s="30"/>
      <c r="AA123" s="30"/>
      <c r="AB123" s="30"/>
      <c r="AC123" s="30"/>
    </row>
    <row r="124" ht="39.75" customHeight="1">
      <c r="A124" s="30"/>
      <c r="B124" s="31"/>
      <c r="C124" s="30"/>
      <c r="D124" s="30"/>
      <c r="E124" s="30"/>
      <c r="F124" s="30"/>
      <c r="G124" s="30"/>
      <c r="H124" s="30"/>
      <c r="I124" s="32"/>
      <c r="J124" s="30"/>
      <c r="K124" s="30"/>
      <c r="L124" s="30"/>
      <c r="M124" s="30"/>
      <c r="N124" s="30"/>
      <c r="O124" s="30"/>
      <c r="P124" s="30"/>
      <c r="Q124" s="30"/>
      <c r="R124" s="30"/>
      <c r="S124" s="30"/>
      <c r="T124" s="30"/>
      <c r="U124" s="30"/>
      <c r="V124" s="30"/>
      <c r="W124" s="30"/>
      <c r="X124" s="30"/>
      <c r="Y124" s="30"/>
      <c r="Z124" s="30"/>
      <c r="AA124" s="30"/>
      <c r="AB124" s="30"/>
      <c r="AC124" s="30"/>
    </row>
    <row r="125" ht="39.75" customHeight="1">
      <c r="A125" s="30"/>
      <c r="B125" s="31"/>
      <c r="C125" s="30"/>
      <c r="D125" s="30"/>
      <c r="E125" s="30"/>
      <c r="F125" s="30"/>
      <c r="G125" s="30"/>
      <c r="H125" s="30"/>
      <c r="I125" s="32"/>
      <c r="J125" s="30"/>
      <c r="K125" s="30"/>
      <c r="L125" s="30"/>
      <c r="M125" s="30"/>
      <c r="N125" s="30"/>
      <c r="O125" s="30"/>
      <c r="P125" s="30"/>
      <c r="Q125" s="30"/>
      <c r="R125" s="30"/>
      <c r="S125" s="30"/>
      <c r="T125" s="30"/>
      <c r="U125" s="30"/>
      <c r="V125" s="30"/>
      <c r="W125" s="30"/>
      <c r="X125" s="30"/>
      <c r="Y125" s="30"/>
      <c r="Z125" s="30"/>
      <c r="AA125" s="30"/>
      <c r="AB125" s="30"/>
      <c r="AC125" s="30"/>
    </row>
    <row r="126" ht="39.75" customHeight="1">
      <c r="A126" s="30"/>
      <c r="B126" s="31"/>
      <c r="C126" s="30"/>
      <c r="D126" s="30"/>
      <c r="E126" s="30"/>
      <c r="F126" s="30"/>
      <c r="G126" s="30"/>
      <c r="H126" s="30"/>
      <c r="I126" s="32"/>
      <c r="J126" s="30"/>
      <c r="K126" s="30"/>
      <c r="L126" s="30"/>
      <c r="M126" s="30"/>
      <c r="N126" s="30"/>
      <c r="O126" s="30"/>
      <c r="P126" s="30"/>
      <c r="Q126" s="30"/>
      <c r="R126" s="30"/>
      <c r="S126" s="30"/>
      <c r="T126" s="30"/>
      <c r="U126" s="30"/>
      <c r="V126" s="30"/>
      <c r="W126" s="30"/>
      <c r="X126" s="30"/>
      <c r="Y126" s="30"/>
      <c r="Z126" s="30"/>
      <c r="AA126" s="30"/>
      <c r="AB126" s="30"/>
      <c r="AC126" s="30"/>
    </row>
    <row r="127" ht="39.75" customHeight="1">
      <c r="A127" s="30"/>
      <c r="B127" s="31"/>
      <c r="C127" s="30"/>
      <c r="D127" s="30"/>
      <c r="E127" s="30"/>
      <c r="F127" s="30"/>
      <c r="G127" s="30"/>
      <c r="H127" s="30"/>
      <c r="I127" s="32"/>
      <c r="J127" s="30"/>
      <c r="K127" s="30"/>
      <c r="L127" s="30"/>
      <c r="M127" s="30"/>
      <c r="N127" s="30"/>
      <c r="O127" s="30"/>
      <c r="P127" s="30"/>
      <c r="Q127" s="30"/>
      <c r="R127" s="30"/>
      <c r="S127" s="30"/>
      <c r="T127" s="30"/>
      <c r="U127" s="30"/>
      <c r="V127" s="30"/>
      <c r="W127" s="30"/>
      <c r="X127" s="30"/>
      <c r="Y127" s="30"/>
      <c r="Z127" s="30"/>
      <c r="AA127" s="30"/>
      <c r="AB127" s="30"/>
      <c r="AC127" s="30"/>
    </row>
    <row r="128" ht="39.75" customHeight="1">
      <c r="A128" s="30"/>
      <c r="B128" s="31"/>
      <c r="C128" s="30"/>
      <c r="D128" s="30"/>
      <c r="E128" s="30"/>
      <c r="F128" s="30"/>
      <c r="G128" s="30"/>
      <c r="H128" s="30"/>
      <c r="I128" s="32"/>
      <c r="J128" s="30"/>
      <c r="K128" s="30"/>
      <c r="L128" s="30"/>
      <c r="M128" s="30"/>
      <c r="N128" s="30"/>
      <c r="O128" s="30"/>
      <c r="P128" s="30"/>
      <c r="Q128" s="30"/>
      <c r="R128" s="30"/>
      <c r="S128" s="30"/>
      <c r="T128" s="30"/>
      <c r="U128" s="30"/>
      <c r="V128" s="30"/>
      <c r="W128" s="30"/>
      <c r="X128" s="30"/>
      <c r="Y128" s="30"/>
      <c r="Z128" s="30"/>
      <c r="AA128" s="30"/>
      <c r="AB128" s="30"/>
      <c r="AC128" s="30"/>
    </row>
    <row r="129" ht="39.75" customHeight="1">
      <c r="A129" s="30"/>
      <c r="B129" s="31"/>
      <c r="C129" s="30"/>
      <c r="D129" s="30"/>
      <c r="E129" s="30"/>
      <c r="F129" s="30"/>
      <c r="G129" s="30"/>
      <c r="H129" s="30"/>
      <c r="I129" s="32"/>
      <c r="J129" s="30"/>
      <c r="K129" s="30"/>
      <c r="L129" s="30"/>
      <c r="M129" s="30"/>
      <c r="N129" s="30"/>
      <c r="O129" s="30"/>
      <c r="P129" s="30"/>
      <c r="Q129" s="30"/>
      <c r="R129" s="30"/>
      <c r="S129" s="30"/>
      <c r="T129" s="30"/>
      <c r="U129" s="30"/>
      <c r="V129" s="30"/>
      <c r="W129" s="30"/>
      <c r="X129" s="30"/>
      <c r="Y129" s="30"/>
      <c r="Z129" s="30"/>
      <c r="AA129" s="30"/>
      <c r="AB129" s="30"/>
      <c r="AC129" s="30"/>
    </row>
    <row r="130" ht="39.75" customHeight="1">
      <c r="A130" s="30"/>
      <c r="B130" s="31"/>
      <c r="C130" s="30"/>
      <c r="D130" s="30"/>
      <c r="E130" s="30"/>
      <c r="F130" s="30"/>
      <c r="G130" s="30"/>
      <c r="H130" s="30"/>
      <c r="I130" s="32"/>
      <c r="J130" s="30"/>
      <c r="K130" s="30"/>
      <c r="L130" s="30"/>
      <c r="M130" s="30"/>
      <c r="N130" s="30"/>
      <c r="O130" s="30"/>
      <c r="P130" s="30"/>
      <c r="Q130" s="30"/>
      <c r="R130" s="30"/>
      <c r="S130" s="30"/>
      <c r="T130" s="30"/>
      <c r="U130" s="30"/>
      <c r="V130" s="30"/>
      <c r="W130" s="30"/>
      <c r="X130" s="30"/>
      <c r="Y130" s="30"/>
      <c r="Z130" s="30"/>
      <c r="AA130" s="30"/>
      <c r="AB130" s="30"/>
      <c r="AC130" s="30"/>
    </row>
    <row r="131" ht="39.75" customHeight="1">
      <c r="A131" s="30"/>
      <c r="B131" s="31"/>
      <c r="C131" s="30"/>
      <c r="D131" s="30"/>
      <c r="E131" s="30"/>
      <c r="F131" s="30"/>
      <c r="G131" s="30"/>
      <c r="H131" s="30"/>
      <c r="I131" s="32"/>
      <c r="J131" s="30"/>
      <c r="K131" s="30"/>
      <c r="L131" s="30"/>
      <c r="M131" s="30"/>
      <c r="N131" s="30"/>
      <c r="O131" s="30"/>
      <c r="P131" s="30"/>
      <c r="Q131" s="30"/>
      <c r="R131" s="30"/>
      <c r="S131" s="30"/>
      <c r="T131" s="30"/>
      <c r="U131" s="30"/>
      <c r="V131" s="30"/>
      <c r="W131" s="30"/>
      <c r="X131" s="30"/>
      <c r="Y131" s="30"/>
      <c r="Z131" s="30"/>
      <c r="AA131" s="30"/>
      <c r="AB131" s="30"/>
      <c r="AC131" s="30"/>
    </row>
    <row r="132" ht="39.75" customHeight="1">
      <c r="A132" s="30"/>
      <c r="B132" s="31"/>
      <c r="C132" s="30"/>
      <c r="D132" s="30"/>
      <c r="E132" s="30"/>
      <c r="F132" s="30"/>
      <c r="G132" s="30"/>
      <c r="H132" s="30"/>
      <c r="I132" s="32"/>
      <c r="J132" s="30"/>
      <c r="K132" s="30"/>
      <c r="L132" s="30"/>
      <c r="M132" s="30"/>
      <c r="N132" s="30"/>
      <c r="O132" s="30"/>
      <c r="P132" s="30"/>
      <c r="Q132" s="30"/>
      <c r="R132" s="30"/>
      <c r="S132" s="30"/>
      <c r="T132" s="30"/>
      <c r="U132" s="30"/>
      <c r="V132" s="30"/>
      <c r="W132" s="30"/>
      <c r="X132" s="30"/>
      <c r="Y132" s="30"/>
      <c r="Z132" s="30"/>
      <c r="AA132" s="30"/>
      <c r="AB132" s="30"/>
      <c r="AC132" s="30"/>
    </row>
    <row r="133" ht="39.75" customHeight="1">
      <c r="A133" s="30"/>
      <c r="B133" s="31"/>
      <c r="C133" s="30"/>
      <c r="D133" s="30"/>
      <c r="E133" s="30"/>
      <c r="F133" s="30"/>
      <c r="G133" s="30"/>
      <c r="H133" s="30"/>
      <c r="I133" s="32"/>
      <c r="J133" s="30"/>
      <c r="K133" s="30"/>
      <c r="L133" s="30"/>
      <c r="M133" s="30"/>
      <c r="N133" s="30"/>
      <c r="O133" s="30"/>
      <c r="P133" s="30"/>
      <c r="Q133" s="30"/>
      <c r="R133" s="30"/>
      <c r="S133" s="30"/>
      <c r="T133" s="30"/>
      <c r="U133" s="30"/>
      <c r="V133" s="30"/>
      <c r="W133" s="30"/>
      <c r="X133" s="30"/>
      <c r="Y133" s="30"/>
      <c r="Z133" s="30"/>
      <c r="AA133" s="30"/>
      <c r="AB133" s="30"/>
      <c r="AC133" s="30"/>
    </row>
    <row r="134" ht="39.75" customHeight="1">
      <c r="A134" s="30"/>
      <c r="B134" s="31"/>
      <c r="C134" s="30"/>
      <c r="D134" s="30"/>
      <c r="E134" s="30"/>
      <c r="F134" s="30"/>
      <c r="G134" s="30"/>
      <c r="H134" s="30"/>
      <c r="I134" s="32"/>
      <c r="J134" s="30"/>
      <c r="K134" s="30"/>
      <c r="L134" s="30"/>
      <c r="M134" s="30"/>
      <c r="N134" s="30"/>
      <c r="O134" s="30"/>
      <c r="P134" s="30"/>
      <c r="Q134" s="30"/>
      <c r="R134" s="30"/>
      <c r="S134" s="30"/>
      <c r="T134" s="30"/>
      <c r="U134" s="30"/>
      <c r="V134" s="30"/>
      <c r="W134" s="30"/>
      <c r="X134" s="30"/>
      <c r="Y134" s="30"/>
      <c r="Z134" s="30"/>
      <c r="AA134" s="30"/>
      <c r="AB134" s="30"/>
      <c r="AC134" s="30"/>
    </row>
    <row r="135" ht="39.75" customHeight="1">
      <c r="A135" s="30"/>
      <c r="B135" s="31"/>
      <c r="C135" s="30"/>
      <c r="D135" s="30"/>
      <c r="E135" s="30"/>
      <c r="F135" s="30"/>
      <c r="G135" s="30"/>
      <c r="H135" s="30"/>
      <c r="I135" s="32"/>
      <c r="J135" s="30"/>
      <c r="K135" s="30"/>
      <c r="L135" s="30"/>
      <c r="M135" s="30"/>
      <c r="N135" s="30"/>
      <c r="O135" s="30"/>
      <c r="P135" s="30"/>
      <c r="Q135" s="30"/>
      <c r="R135" s="30"/>
      <c r="S135" s="30"/>
      <c r="T135" s="30"/>
      <c r="U135" s="30"/>
      <c r="V135" s="30"/>
      <c r="W135" s="30"/>
      <c r="X135" s="30"/>
      <c r="Y135" s="30"/>
      <c r="Z135" s="30"/>
      <c r="AA135" s="30"/>
      <c r="AB135" s="30"/>
      <c r="AC135" s="30"/>
    </row>
    <row r="136" ht="39.75" customHeight="1">
      <c r="A136" s="30"/>
      <c r="B136" s="31"/>
      <c r="C136" s="30"/>
      <c r="D136" s="30"/>
      <c r="E136" s="30"/>
      <c r="F136" s="30"/>
      <c r="G136" s="30"/>
      <c r="H136" s="30"/>
      <c r="I136" s="32"/>
      <c r="J136" s="30"/>
      <c r="K136" s="30"/>
      <c r="L136" s="30"/>
      <c r="M136" s="30"/>
      <c r="N136" s="30"/>
      <c r="O136" s="30"/>
      <c r="P136" s="30"/>
      <c r="Q136" s="30"/>
      <c r="R136" s="30"/>
      <c r="S136" s="30"/>
      <c r="T136" s="30"/>
      <c r="U136" s="30"/>
      <c r="V136" s="30"/>
      <c r="W136" s="30"/>
      <c r="X136" s="30"/>
      <c r="Y136" s="30"/>
      <c r="Z136" s="30"/>
      <c r="AA136" s="30"/>
      <c r="AB136" s="30"/>
      <c r="AC136" s="30"/>
    </row>
    <row r="137" ht="39.75" customHeight="1">
      <c r="A137" s="30"/>
      <c r="B137" s="31"/>
      <c r="C137" s="30"/>
      <c r="D137" s="30"/>
      <c r="E137" s="30"/>
      <c r="F137" s="30"/>
      <c r="G137" s="30"/>
      <c r="H137" s="30"/>
      <c r="I137" s="32"/>
      <c r="J137" s="30"/>
      <c r="K137" s="30"/>
      <c r="L137" s="30"/>
      <c r="M137" s="30"/>
      <c r="N137" s="30"/>
      <c r="O137" s="30"/>
      <c r="P137" s="30"/>
      <c r="Q137" s="30"/>
      <c r="R137" s="30"/>
      <c r="S137" s="30"/>
      <c r="T137" s="30"/>
      <c r="U137" s="30"/>
      <c r="V137" s="30"/>
      <c r="W137" s="30"/>
      <c r="X137" s="30"/>
      <c r="Y137" s="30"/>
      <c r="Z137" s="30"/>
      <c r="AA137" s="30"/>
      <c r="AB137" s="30"/>
      <c r="AC137" s="30"/>
    </row>
    <row r="138" ht="39.75" customHeight="1">
      <c r="A138" s="30"/>
      <c r="B138" s="31"/>
      <c r="C138" s="30"/>
      <c r="D138" s="30"/>
      <c r="E138" s="30"/>
      <c r="F138" s="30"/>
      <c r="G138" s="30"/>
      <c r="H138" s="30"/>
      <c r="I138" s="32"/>
      <c r="J138" s="30"/>
      <c r="K138" s="30"/>
      <c r="L138" s="30"/>
      <c r="M138" s="30"/>
      <c r="N138" s="30"/>
      <c r="O138" s="30"/>
      <c r="P138" s="30"/>
      <c r="Q138" s="30"/>
      <c r="R138" s="30"/>
      <c r="S138" s="30"/>
      <c r="T138" s="30"/>
      <c r="U138" s="30"/>
      <c r="V138" s="30"/>
      <c r="W138" s="30"/>
      <c r="X138" s="30"/>
      <c r="Y138" s="30"/>
      <c r="Z138" s="30"/>
      <c r="AA138" s="30"/>
      <c r="AB138" s="30"/>
      <c r="AC138" s="30"/>
    </row>
    <row r="139" ht="39.75" customHeight="1">
      <c r="A139" s="30"/>
      <c r="B139" s="31"/>
      <c r="C139" s="30"/>
      <c r="D139" s="30"/>
      <c r="E139" s="30"/>
      <c r="F139" s="30"/>
      <c r="G139" s="30"/>
      <c r="H139" s="30"/>
      <c r="I139" s="32"/>
      <c r="J139" s="30"/>
      <c r="K139" s="30"/>
      <c r="L139" s="30"/>
      <c r="M139" s="30"/>
      <c r="N139" s="30"/>
      <c r="O139" s="30"/>
      <c r="P139" s="30"/>
      <c r="Q139" s="30"/>
      <c r="R139" s="30"/>
      <c r="S139" s="30"/>
      <c r="T139" s="30"/>
      <c r="U139" s="30"/>
      <c r="V139" s="30"/>
      <c r="W139" s="30"/>
      <c r="X139" s="30"/>
      <c r="Y139" s="30"/>
      <c r="Z139" s="30"/>
      <c r="AA139" s="30"/>
      <c r="AB139" s="30"/>
      <c r="AC139" s="30"/>
    </row>
    <row r="140" ht="39.75" customHeight="1">
      <c r="A140" s="30"/>
      <c r="B140" s="31"/>
      <c r="C140" s="30"/>
      <c r="D140" s="30"/>
      <c r="E140" s="30"/>
      <c r="F140" s="30"/>
      <c r="G140" s="30"/>
      <c r="H140" s="30"/>
      <c r="I140" s="32"/>
      <c r="J140" s="30"/>
      <c r="K140" s="30"/>
      <c r="L140" s="30"/>
      <c r="M140" s="30"/>
      <c r="N140" s="30"/>
      <c r="O140" s="30"/>
      <c r="P140" s="30"/>
      <c r="Q140" s="30"/>
      <c r="R140" s="30"/>
      <c r="S140" s="30"/>
      <c r="T140" s="30"/>
      <c r="U140" s="30"/>
      <c r="V140" s="30"/>
      <c r="W140" s="30"/>
      <c r="X140" s="30"/>
      <c r="Y140" s="30"/>
      <c r="Z140" s="30"/>
      <c r="AA140" s="30"/>
      <c r="AB140" s="30"/>
      <c r="AC140" s="30"/>
    </row>
    <row r="141" ht="39.75" customHeight="1">
      <c r="A141" s="30"/>
      <c r="B141" s="31"/>
      <c r="C141" s="30"/>
      <c r="D141" s="30"/>
      <c r="E141" s="30"/>
      <c r="F141" s="30"/>
      <c r="G141" s="30"/>
      <c r="H141" s="30"/>
      <c r="I141" s="32"/>
      <c r="J141" s="30"/>
      <c r="K141" s="30"/>
      <c r="L141" s="30"/>
      <c r="M141" s="30"/>
      <c r="N141" s="30"/>
      <c r="O141" s="30"/>
      <c r="P141" s="30"/>
      <c r="Q141" s="30"/>
      <c r="R141" s="30"/>
      <c r="S141" s="30"/>
      <c r="T141" s="30"/>
      <c r="U141" s="30"/>
      <c r="V141" s="30"/>
      <c r="W141" s="30"/>
      <c r="X141" s="30"/>
      <c r="Y141" s="30"/>
      <c r="Z141" s="30"/>
      <c r="AA141" s="30"/>
      <c r="AB141" s="30"/>
      <c r="AC141" s="30"/>
    </row>
    <row r="142" ht="39.75" customHeight="1">
      <c r="A142" s="30"/>
      <c r="B142" s="31"/>
      <c r="C142" s="30"/>
      <c r="D142" s="30"/>
      <c r="E142" s="30"/>
      <c r="F142" s="30"/>
      <c r="G142" s="30"/>
      <c r="H142" s="30"/>
      <c r="I142" s="32"/>
      <c r="J142" s="30"/>
      <c r="K142" s="30"/>
      <c r="L142" s="30"/>
      <c r="M142" s="30"/>
      <c r="N142" s="30"/>
      <c r="O142" s="30"/>
      <c r="P142" s="30"/>
      <c r="Q142" s="30"/>
      <c r="R142" s="30"/>
      <c r="S142" s="30"/>
      <c r="T142" s="30"/>
      <c r="U142" s="30"/>
      <c r="V142" s="30"/>
      <c r="W142" s="30"/>
      <c r="X142" s="30"/>
      <c r="Y142" s="30"/>
      <c r="Z142" s="30"/>
      <c r="AA142" s="30"/>
      <c r="AB142" s="30"/>
      <c r="AC142" s="30"/>
    </row>
    <row r="143" ht="39.75" customHeight="1">
      <c r="A143" s="30"/>
      <c r="B143" s="31"/>
      <c r="C143" s="30"/>
      <c r="D143" s="30"/>
      <c r="E143" s="30"/>
      <c r="F143" s="30"/>
      <c r="G143" s="30"/>
      <c r="H143" s="30"/>
      <c r="I143" s="32"/>
      <c r="J143" s="30"/>
      <c r="K143" s="30"/>
      <c r="L143" s="30"/>
      <c r="M143" s="30"/>
      <c r="N143" s="30"/>
      <c r="O143" s="30"/>
      <c r="P143" s="30"/>
      <c r="Q143" s="30"/>
      <c r="R143" s="30"/>
      <c r="S143" s="30"/>
      <c r="T143" s="30"/>
      <c r="U143" s="30"/>
      <c r="V143" s="30"/>
      <c r="W143" s="30"/>
      <c r="X143" s="30"/>
      <c r="Y143" s="30"/>
      <c r="Z143" s="30"/>
      <c r="AA143" s="30"/>
      <c r="AB143" s="30"/>
      <c r="AC143" s="30"/>
    </row>
    <row r="144" ht="39.75" customHeight="1">
      <c r="A144" s="30"/>
      <c r="B144" s="31"/>
      <c r="C144" s="30"/>
      <c r="D144" s="30"/>
      <c r="E144" s="30"/>
      <c r="F144" s="30"/>
      <c r="G144" s="30"/>
      <c r="H144" s="30"/>
      <c r="I144" s="32"/>
      <c r="J144" s="30"/>
      <c r="K144" s="30"/>
      <c r="L144" s="30"/>
      <c r="M144" s="30"/>
      <c r="N144" s="30"/>
      <c r="O144" s="30"/>
      <c r="P144" s="30"/>
      <c r="Q144" s="30"/>
      <c r="R144" s="30"/>
      <c r="S144" s="30"/>
      <c r="T144" s="30"/>
      <c r="U144" s="30"/>
      <c r="V144" s="30"/>
      <c r="W144" s="30"/>
      <c r="X144" s="30"/>
      <c r="Y144" s="30"/>
      <c r="Z144" s="30"/>
      <c r="AA144" s="30"/>
      <c r="AB144" s="30"/>
      <c r="AC144" s="30"/>
    </row>
    <row r="145" ht="39.75" customHeight="1">
      <c r="A145" s="30"/>
      <c r="B145" s="31"/>
      <c r="C145" s="30"/>
      <c r="D145" s="30"/>
      <c r="E145" s="30"/>
      <c r="F145" s="30"/>
      <c r="G145" s="30"/>
      <c r="H145" s="30"/>
      <c r="I145" s="32"/>
      <c r="J145" s="30"/>
      <c r="K145" s="30"/>
      <c r="L145" s="30"/>
      <c r="M145" s="30"/>
      <c r="N145" s="30"/>
      <c r="O145" s="30"/>
      <c r="P145" s="30"/>
      <c r="Q145" s="30"/>
      <c r="R145" s="30"/>
      <c r="S145" s="30"/>
      <c r="T145" s="30"/>
      <c r="U145" s="30"/>
      <c r="V145" s="30"/>
      <c r="W145" s="30"/>
      <c r="X145" s="30"/>
      <c r="Y145" s="30"/>
      <c r="Z145" s="30"/>
      <c r="AA145" s="30"/>
      <c r="AB145" s="30"/>
      <c r="AC145" s="30"/>
    </row>
    <row r="146" ht="39.75" customHeight="1">
      <c r="A146" s="30"/>
      <c r="B146" s="31"/>
      <c r="C146" s="30"/>
      <c r="D146" s="30"/>
      <c r="E146" s="30"/>
      <c r="F146" s="30"/>
      <c r="G146" s="30"/>
      <c r="H146" s="30"/>
      <c r="I146" s="32"/>
      <c r="J146" s="30"/>
      <c r="K146" s="30"/>
      <c r="L146" s="30"/>
      <c r="M146" s="30"/>
      <c r="N146" s="30"/>
      <c r="O146" s="30"/>
      <c r="P146" s="30"/>
      <c r="Q146" s="30"/>
      <c r="R146" s="30"/>
      <c r="S146" s="30"/>
      <c r="T146" s="30"/>
      <c r="U146" s="30"/>
      <c r="V146" s="30"/>
      <c r="W146" s="30"/>
      <c r="X146" s="30"/>
      <c r="Y146" s="30"/>
      <c r="Z146" s="30"/>
      <c r="AA146" s="30"/>
      <c r="AB146" s="30"/>
      <c r="AC146" s="30"/>
    </row>
    <row r="147" ht="39.75" customHeight="1">
      <c r="A147" s="30"/>
      <c r="B147" s="31"/>
      <c r="C147" s="30"/>
      <c r="D147" s="30"/>
      <c r="E147" s="30"/>
      <c r="F147" s="30"/>
      <c r="G147" s="30"/>
      <c r="H147" s="30"/>
      <c r="I147" s="32"/>
      <c r="J147" s="30"/>
      <c r="K147" s="30"/>
      <c r="L147" s="30"/>
      <c r="M147" s="30"/>
      <c r="N147" s="30"/>
      <c r="O147" s="30"/>
      <c r="P147" s="30"/>
      <c r="Q147" s="30"/>
      <c r="R147" s="30"/>
      <c r="S147" s="30"/>
      <c r="T147" s="30"/>
      <c r="U147" s="30"/>
      <c r="V147" s="30"/>
      <c r="W147" s="30"/>
      <c r="X147" s="30"/>
      <c r="Y147" s="30"/>
      <c r="Z147" s="30"/>
      <c r="AA147" s="30"/>
      <c r="AB147" s="30"/>
      <c r="AC147" s="30"/>
    </row>
    <row r="148" ht="39.75" customHeight="1">
      <c r="A148" s="30"/>
      <c r="B148" s="31"/>
      <c r="C148" s="30"/>
      <c r="D148" s="30"/>
      <c r="E148" s="30"/>
      <c r="F148" s="30"/>
      <c r="G148" s="30"/>
      <c r="H148" s="30"/>
      <c r="I148" s="32"/>
      <c r="J148" s="30"/>
      <c r="K148" s="30"/>
      <c r="L148" s="30"/>
      <c r="M148" s="30"/>
      <c r="N148" s="30"/>
      <c r="O148" s="30"/>
      <c r="P148" s="30"/>
      <c r="Q148" s="30"/>
      <c r="R148" s="30"/>
      <c r="S148" s="30"/>
      <c r="T148" s="30"/>
      <c r="U148" s="30"/>
      <c r="V148" s="30"/>
      <c r="W148" s="30"/>
      <c r="X148" s="30"/>
      <c r="Y148" s="30"/>
      <c r="Z148" s="30"/>
      <c r="AA148" s="30"/>
      <c r="AB148" s="30"/>
      <c r="AC148" s="30"/>
    </row>
    <row r="149" ht="39.75" customHeight="1">
      <c r="A149" s="30"/>
      <c r="B149" s="31"/>
      <c r="C149" s="30"/>
      <c r="D149" s="30"/>
      <c r="E149" s="30"/>
      <c r="F149" s="30"/>
      <c r="G149" s="30"/>
      <c r="H149" s="30"/>
      <c r="I149" s="32"/>
      <c r="J149" s="30"/>
      <c r="K149" s="30"/>
      <c r="L149" s="30"/>
      <c r="M149" s="30"/>
      <c r="N149" s="30"/>
      <c r="O149" s="30"/>
      <c r="P149" s="30"/>
      <c r="Q149" s="30"/>
      <c r="R149" s="30"/>
      <c r="S149" s="30"/>
      <c r="T149" s="30"/>
      <c r="U149" s="30"/>
      <c r="V149" s="30"/>
      <c r="W149" s="30"/>
      <c r="X149" s="30"/>
      <c r="Y149" s="30"/>
      <c r="Z149" s="30"/>
      <c r="AA149" s="30"/>
      <c r="AB149" s="30"/>
      <c r="AC149" s="30"/>
    </row>
    <row r="150" ht="39.75" customHeight="1">
      <c r="A150" s="30"/>
      <c r="B150" s="31"/>
      <c r="C150" s="30"/>
      <c r="D150" s="30"/>
      <c r="E150" s="30"/>
      <c r="F150" s="30"/>
      <c r="G150" s="30"/>
      <c r="H150" s="30"/>
      <c r="I150" s="32"/>
      <c r="J150" s="30"/>
      <c r="K150" s="30"/>
      <c r="L150" s="30"/>
      <c r="M150" s="30"/>
      <c r="N150" s="30"/>
      <c r="O150" s="30"/>
      <c r="P150" s="30"/>
      <c r="Q150" s="30"/>
      <c r="R150" s="30"/>
      <c r="S150" s="30"/>
      <c r="T150" s="30"/>
      <c r="U150" s="30"/>
      <c r="V150" s="30"/>
      <c r="W150" s="30"/>
      <c r="X150" s="30"/>
      <c r="Y150" s="30"/>
      <c r="Z150" s="30"/>
      <c r="AA150" s="30"/>
      <c r="AB150" s="30"/>
      <c r="AC150" s="30"/>
    </row>
    <row r="151" ht="39.75" customHeight="1">
      <c r="A151" s="30"/>
      <c r="B151" s="31"/>
      <c r="C151" s="30"/>
      <c r="D151" s="30"/>
      <c r="E151" s="30"/>
      <c r="F151" s="30"/>
      <c r="G151" s="30"/>
      <c r="H151" s="30"/>
      <c r="I151" s="32"/>
      <c r="J151" s="30"/>
      <c r="K151" s="30"/>
      <c r="L151" s="30"/>
      <c r="M151" s="30"/>
      <c r="N151" s="30"/>
      <c r="O151" s="30"/>
      <c r="P151" s="30"/>
      <c r="Q151" s="30"/>
      <c r="R151" s="30"/>
      <c r="S151" s="30"/>
      <c r="T151" s="30"/>
      <c r="U151" s="30"/>
      <c r="V151" s="30"/>
      <c r="W151" s="30"/>
      <c r="X151" s="30"/>
      <c r="Y151" s="30"/>
      <c r="Z151" s="30"/>
      <c r="AA151" s="30"/>
      <c r="AB151" s="30"/>
      <c r="AC151" s="30"/>
    </row>
    <row r="152" ht="39.75" customHeight="1">
      <c r="A152" s="30"/>
      <c r="B152" s="31"/>
      <c r="C152" s="30"/>
      <c r="D152" s="30"/>
      <c r="E152" s="30"/>
      <c r="F152" s="30"/>
      <c r="G152" s="30"/>
      <c r="H152" s="30"/>
      <c r="I152" s="32"/>
      <c r="J152" s="30"/>
      <c r="K152" s="30"/>
      <c r="L152" s="30"/>
      <c r="M152" s="30"/>
      <c r="N152" s="30"/>
      <c r="O152" s="30"/>
      <c r="P152" s="30"/>
      <c r="Q152" s="30"/>
      <c r="R152" s="30"/>
      <c r="S152" s="30"/>
      <c r="T152" s="30"/>
      <c r="U152" s="30"/>
      <c r="V152" s="30"/>
      <c r="W152" s="30"/>
      <c r="X152" s="30"/>
      <c r="Y152" s="30"/>
      <c r="Z152" s="30"/>
      <c r="AA152" s="30"/>
      <c r="AB152" s="30"/>
      <c r="AC152" s="30"/>
    </row>
    <row r="153" ht="39.75" customHeight="1">
      <c r="A153" s="30"/>
      <c r="B153" s="31"/>
      <c r="C153" s="30"/>
      <c r="D153" s="30"/>
      <c r="E153" s="30"/>
      <c r="F153" s="30"/>
      <c r="G153" s="30"/>
      <c r="H153" s="30"/>
      <c r="I153" s="32"/>
      <c r="J153" s="30"/>
      <c r="K153" s="30"/>
      <c r="L153" s="30"/>
      <c r="M153" s="30"/>
      <c r="N153" s="30"/>
      <c r="O153" s="30"/>
      <c r="P153" s="30"/>
      <c r="Q153" s="30"/>
      <c r="R153" s="30"/>
      <c r="S153" s="30"/>
      <c r="T153" s="30"/>
      <c r="U153" s="30"/>
      <c r="V153" s="30"/>
      <c r="W153" s="30"/>
      <c r="X153" s="30"/>
      <c r="Y153" s="30"/>
      <c r="Z153" s="30"/>
      <c r="AA153" s="30"/>
      <c r="AB153" s="30"/>
      <c r="AC153" s="30"/>
    </row>
    <row r="154" ht="39.75" customHeight="1">
      <c r="A154" s="30"/>
      <c r="B154" s="31"/>
      <c r="C154" s="30"/>
      <c r="D154" s="30"/>
      <c r="E154" s="30"/>
      <c r="F154" s="30"/>
      <c r="G154" s="30"/>
      <c r="H154" s="30"/>
      <c r="I154" s="32"/>
      <c r="J154" s="30"/>
      <c r="K154" s="30"/>
      <c r="L154" s="30"/>
      <c r="M154" s="30"/>
      <c r="N154" s="30"/>
      <c r="O154" s="30"/>
      <c r="P154" s="30"/>
      <c r="Q154" s="30"/>
      <c r="R154" s="30"/>
      <c r="S154" s="30"/>
      <c r="T154" s="30"/>
      <c r="U154" s="30"/>
      <c r="V154" s="30"/>
      <c r="W154" s="30"/>
      <c r="X154" s="30"/>
      <c r="Y154" s="30"/>
      <c r="Z154" s="30"/>
      <c r="AA154" s="30"/>
      <c r="AB154" s="30"/>
      <c r="AC154" s="30"/>
    </row>
    <row r="155" ht="39.75" customHeight="1">
      <c r="A155" s="30"/>
      <c r="B155" s="31"/>
      <c r="C155" s="30"/>
      <c r="D155" s="30"/>
      <c r="E155" s="30"/>
      <c r="F155" s="30"/>
      <c r="G155" s="30"/>
      <c r="H155" s="30"/>
      <c r="I155" s="32"/>
      <c r="J155" s="30"/>
      <c r="K155" s="30"/>
      <c r="L155" s="30"/>
      <c r="M155" s="30"/>
      <c r="N155" s="30"/>
      <c r="O155" s="30"/>
      <c r="P155" s="30"/>
      <c r="Q155" s="30"/>
      <c r="R155" s="30"/>
      <c r="S155" s="30"/>
      <c r="T155" s="30"/>
      <c r="U155" s="30"/>
      <c r="V155" s="30"/>
      <c r="W155" s="30"/>
      <c r="X155" s="30"/>
      <c r="Y155" s="30"/>
      <c r="Z155" s="30"/>
      <c r="AA155" s="30"/>
      <c r="AB155" s="30"/>
      <c r="AC155" s="30"/>
    </row>
    <row r="156" ht="39.75" customHeight="1">
      <c r="A156" s="30"/>
      <c r="B156" s="31"/>
      <c r="C156" s="30"/>
      <c r="D156" s="30"/>
      <c r="E156" s="30"/>
      <c r="F156" s="30"/>
      <c r="G156" s="30"/>
      <c r="H156" s="30"/>
      <c r="I156" s="32"/>
      <c r="J156" s="30"/>
      <c r="K156" s="30"/>
      <c r="L156" s="30"/>
      <c r="M156" s="30"/>
      <c r="N156" s="30"/>
      <c r="O156" s="30"/>
      <c r="P156" s="30"/>
      <c r="Q156" s="30"/>
      <c r="R156" s="30"/>
      <c r="S156" s="30"/>
      <c r="T156" s="30"/>
      <c r="U156" s="30"/>
      <c r="V156" s="30"/>
      <c r="W156" s="30"/>
      <c r="X156" s="30"/>
      <c r="Y156" s="30"/>
      <c r="Z156" s="30"/>
      <c r="AA156" s="30"/>
      <c r="AB156" s="30"/>
      <c r="AC156" s="30"/>
    </row>
    <row r="157" ht="39.75" customHeight="1">
      <c r="A157" s="30"/>
      <c r="B157" s="31"/>
      <c r="C157" s="30"/>
      <c r="D157" s="30"/>
      <c r="E157" s="30"/>
      <c r="F157" s="30"/>
      <c r="G157" s="30"/>
      <c r="H157" s="30"/>
      <c r="I157" s="32"/>
      <c r="J157" s="30"/>
      <c r="K157" s="30"/>
      <c r="L157" s="30"/>
      <c r="M157" s="30"/>
      <c r="N157" s="30"/>
      <c r="O157" s="30"/>
      <c r="P157" s="30"/>
      <c r="Q157" s="30"/>
      <c r="R157" s="30"/>
      <c r="S157" s="30"/>
      <c r="T157" s="30"/>
      <c r="U157" s="30"/>
      <c r="V157" s="30"/>
      <c r="W157" s="30"/>
      <c r="X157" s="30"/>
      <c r="Y157" s="30"/>
      <c r="Z157" s="30"/>
      <c r="AA157" s="30"/>
      <c r="AB157" s="30"/>
      <c r="AC157" s="30"/>
    </row>
    <row r="158" ht="39.75" customHeight="1">
      <c r="A158" s="30"/>
      <c r="B158" s="31"/>
      <c r="C158" s="30"/>
      <c r="D158" s="30"/>
      <c r="E158" s="30"/>
      <c r="F158" s="30"/>
      <c r="G158" s="30"/>
      <c r="H158" s="30"/>
      <c r="I158" s="32"/>
      <c r="J158" s="30"/>
      <c r="K158" s="30"/>
      <c r="L158" s="30"/>
      <c r="M158" s="30"/>
      <c r="N158" s="30"/>
      <c r="O158" s="30"/>
      <c r="P158" s="30"/>
      <c r="Q158" s="30"/>
      <c r="R158" s="30"/>
      <c r="S158" s="30"/>
      <c r="T158" s="30"/>
      <c r="U158" s="30"/>
      <c r="V158" s="30"/>
      <c r="W158" s="30"/>
      <c r="X158" s="30"/>
      <c r="Y158" s="30"/>
      <c r="Z158" s="30"/>
      <c r="AA158" s="30"/>
      <c r="AB158" s="30"/>
      <c r="AC158" s="30"/>
    </row>
    <row r="159" ht="39.75" customHeight="1">
      <c r="A159" s="30"/>
      <c r="B159" s="31"/>
      <c r="C159" s="30"/>
      <c r="D159" s="30"/>
      <c r="E159" s="30"/>
      <c r="F159" s="30"/>
      <c r="G159" s="30"/>
      <c r="H159" s="30"/>
      <c r="I159" s="32"/>
      <c r="J159" s="30"/>
      <c r="K159" s="30"/>
      <c r="L159" s="30"/>
      <c r="M159" s="30"/>
      <c r="N159" s="30"/>
      <c r="O159" s="30"/>
      <c r="P159" s="30"/>
      <c r="Q159" s="30"/>
      <c r="R159" s="30"/>
      <c r="S159" s="30"/>
      <c r="T159" s="30"/>
      <c r="U159" s="30"/>
      <c r="V159" s="30"/>
      <c r="W159" s="30"/>
      <c r="X159" s="30"/>
      <c r="Y159" s="30"/>
      <c r="Z159" s="30"/>
      <c r="AA159" s="30"/>
      <c r="AB159" s="30"/>
      <c r="AC159" s="30"/>
    </row>
    <row r="160" ht="39.75" customHeight="1">
      <c r="A160" s="30"/>
      <c r="B160" s="31"/>
      <c r="C160" s="30"/>
      <c r="D160" s="30"/>
      <c r="E160" s="30"/>
      <c r="F160" s="30"/>
      <c r="G160" s="30"/>
      <c r="H160" s="30"/>
      <c r="I160" s="32"/>
      <c r="J160" s="30"/>
      <c r="K160" s="30"/>
      <c r="L160" s="30"/>
      <c r="M160" s="30"/>
      <c r="N160" s="30"/>
      <c r="O160" s="30"/>
      <c r="P160" s="30"/>
      <c r="Q160" s="30"/>
      <c r="R160" s="30"/>
      <c r="S160" s="30"/>
      <c r="T160" s="30"/>
      <c r="U160" s="30"/>
      <c r="V160" s="30"/>
      <c r="W160" s="30"/>
      <c r="X160" s="30"/>
      <c r="Y160" s="30"/>
      <c r="Z160" s="30"/>
      <c r="AA160" s="30"/>
      <c r="AB160" s="30"/>
      <c r="AC160" s="30"/>
    </row>
    <row r="161" ht="39.75" customHeight="1">
      <c r="A161" s="30"/>
      <c r="B161" s="31"/>
      <c r="C161" s="30"/>
      <c r="D161" s="30"/>
      <c r="E161" s="30"/>
      <c r="F161" s="30"/>
      <c r="G161" s="30"/>
      <c r="H161" s="30"/>
      <c r="I161" s="32"/>
      <c r="J161" s="30"/>
      <c r="K161" s="30"/>
      <c r="L161" s="30"/>
      <c r="M161" s="30"/>
      <c r="N161" s="30"/>
      <c r="O161" s="30"/>
      <c r="P161" s="30"/>
      <c r="Q161" s="30"/>
      <c r="R161" s="30"/>
      <c r="S161" s="30"/>
      <c r="T161" s="30"/>
      <c r="U161" s="30"/>
      <c r="V161" s="30"/>
      <c r="W161" s="30"/>
      <c r="X161" s="30"/>
      <c r="Y161" s="30"/>
      <c r="Z161" s="30"/>
      <c r="AA161" s="30"/>
      <c r="AB161" s="30"/>
      <c r="AC161" s="30"/>
    </row>
    <row r="162" ht="39.75" customHeight="1">
      <c r="A162" s="30"/>
      <c r="B162" s="31"/>
      <c r="C162" s="30"/>
      <c r="D162" s="30"/>
      <c r="E162" s="30"/>
      <c r="F162" s="30"/>
      <c r="G162" s="30"/>
      <c r="H162" s="30"/>
      <c r="I162" s="32"/>
      <c r="J162" s="30"/>
      <c r="K162" s="30"/>
      <c r="L162" s="30"/>
      <c r="M162" s="30"/>
      <c r="N162" s="30"/>
      <c r="O162" s="30"/>
      <c r="P162" s="30"/>
      <c r="Q162" s="30"/>
      <c r="R162" s="30"/>
      <c r="S162" s="30"/>
      <c r="T162" s="30"/>
      <c r="U162" s="30"/>
      <c r="V162" s="30"/>
      <c r="W162" s="30"/>
      <c r="X162" s="30"/>
      <c r="Y162" s="30"/>
      <c r="Z162" s="30"/>
      <c r="AA162" s="30"/>
      <c r="AB162" s="30"/>
      <c r="AC162" s="30"/>
    </row>
    <row r="163" ht="39.75" customHeight="1">
      <c r="A163" s="30"/>
      <c r="B163" s="31"/>
      <c r="C163" s="30"/>
      <c r="D163" s="30"/>
      <c r="E163" s="30"/>
      <c r="F163" s="30"/>
      <c r="G163" s="30"/>
      <c r="H163" s="30"/>
      <c r="I163" s="32"/>
      <c r="J163" s="30"/>
      <c r="K163" s="30"/>
      <c r="L163" s="30"/>
      <c r="M163" s="30"/>
      <c r="N163" s="30"/>
      <c r="O163" s="30"/>
      <c r="P163" s="30"/>
      <c r="Q163" s="30"/>
      <c r="R163" s="30"/>
      <c r="S163" s="30"/>
      <c r="T163" s="30"/>
      <c r="U163" s="30"/>
      <c r="V163" s="30"/>
      <c r="W163" s="30"/>
      <c r="X163" s="30"/>
      <c r="Y163" s="30"/>
      <c r="Z163" s="30"/>
      <c r="AA163" s="30"/>
      <c r="AB163" s="30"/>
      <c r="AC163" s="30"/>
    </row>
    <row r="164" ht="39.75" customHeight="1">
      <c r="A164" s="30"/>
      <c r="B164" s="31"/>
      <c r="C164" s="30"/>
      <c r="D164" s="30"/>
      <c r="E164" s="30"/>
      <c r="F164" s="30"/>
      <c r="G164" s="30"/>
      <c r="H164" s="30"/>
      <c r="I164" s="32"/>
      <c r="J164" s="30"/>
      <c r="K164" s="30"/>
      <c r="L164" s="30"/>
      <c r="M164" s="30"/>
      <c r="N164" s="30"/>
      <c r="O164" s="30"/>
      <c r="P164" s="30"/>
      <c r="Q164" s="30"/>
      <c r="R164" s="30"/>
      <c r="S164" s="30"/>
      <c r="T164" s="30"/>
      <c r="U164" s="30"/>
      <c r="V164" s="30"/>
      <c r="W164" s="30"/>
      <c r="X164" s="30"/>
      <c r="Y164" s="30"/>
      <c r="Z164" s="30"/>
      <c r="AA164" s="30"/>
      <c r="AB164" s="30"/>
      <c r="AC164" s="30"/>
    </row>
    <row r="165" ht="39.75" customHeight="1">
      <c r="A165" s="30"/>
      <c r="B165" s="31"/>
      <c r="C165" s="30"/>
      <c r="D165" s="30"/>
      <c r="E165" s="30"/>
      <c r="F165" s="30"/>
      <c r="G165" s="30"/>
      <c r="H165" s="30"/>
      <c r="I165" s="32"/>
      <c r="J165" s="30"/>
      <c r="K165" s="30"/>
      <c r="L165" s="30"/>
      <c r="M165" s="30"/>
      <c r="N165" s="30"/>
      <c r="O165" s="30"/>
      <c r="P165" s="30"/>
      <c r="Q165" s="30"/>
      <c r="R165" s="30"/>
      <c r="S165" s="30"/>
      <c r="T165" s="30"/>
      <c r="U165" s="30"/>
      <c r="V165" s="30"/>
      <c r="W165" s="30"/>
      <c r="X165" s="30"/>
      <c r="Y165" s="30"/>
      <c r="Z165" s="30"/>
      <c r="AA165" s="30"/>
      <c r="AB165" s="30"/>
      <c r="AC165" s="30"/>
    </row>
    <row r="166" ht="39.75" customHeight="1">
      <c r="A166" s="30"/>
      <c r="B166" s="31"/>
      <c r="C166" s="30"/>
      <c r="D166" s="30"/>
      <c r="E166" s="30"/>
      <c r="F166" s="30"/>
      <c r="G166" s="30"/>
      <c r="H166" s="30"/>
      <c r="I166" s="32"/>
      <c r="J166" s="30"/>
      <c r="K166" s="30"/>
      <c r="L166" s="30"/>
      <c r="M166" s="30"/>
      <c r="N166" s="30"/>
      <c r="O166" s="30"/>
      <c r="P166" s="30"/>
      <c r="Q166" s="30"/>
      <c r="R166" s="30"/>
      <c r="S166" s="30"/>
      <c r="T166" s="30"/>
      <c r="U166" s="30"/>
      <c r="V166" s="30"/>
      <c r="W166" s="30"/>
      <c r="X166" s="30"/>
      <c r="Y166" s="30"/>
      <c r="Z166" s="30"/>
      <c r="AA166" s="30"/>
      <c r="AB166" s="30"/>
      <c r="AC166" s="30"/>
    </row>
    <row r="167" ht="39.75" customHeight="1">
      <c r="A167" s="30"/>
      <c r="B167" s="31"/>
      <c r="C167" s="30"/>
      <c r="D167" s="30"/>
      <c r="E167" s="30"/>
      <c r="F167" s="30"/>
      <c r="G167" s="30"/>
      <c r="H167" s="30"/>
      <c r="I167" s="32"/>
      <c r="J167" s="30"/>
      <c r="K167" s="30"/>
      <c r="L167" s="30"/>
      <c r="M167" s="30"/>
      <c r="N167" s="30"/>
      <c r="O167" s="30"/>
      <c r="P167" s="30"/>
      <c r="Q167" s="30"/>
      <c r="R167" s="30"/>
      <c r="S167" s="30"/>
      <c r="T167" s="30"/>
      <c r="U167" s="30"/>
      <c r="V167" s="30"/>
      <c r="W167" s="30"/>
      <c r="X167" s="30"/>
      <c r="Y167" s="30"/>
      <c r="Z167" s="30"/>
      <c r="AA167" s="30"/>
      <c r="AB167" s="30"/>
      <c r="AC167" s="30"/>
    </row>
    <row r="168" ht="39.75" customHeight="1">
      <c r="A168" s="30"/>
      <c r="B168" s="31"/>
      <c r="C168" s="30"/>
      <c r="D168" s="30"/>
      <c r="E168" s="30"/>
      <c r="F168" s="30"/>
      <c r="G168" s="30"/>
      <c r="H168" s="30"/>
      <c r="I168" s="32"/>
      <c r="J168" s="30"/>
      <c r="K168" s="30"/>
      <c r="L168" s="30"/>
      <c r="M168" s="30"/>
      <c r="N168" s="30"/>
      <c r="O168" s="30"/>
      <c r="P168" s="30"/>
      <c r="Q168" s="30"/>
      <c r="R168" s="30"/>
      <c r="S168" s="30"/>
      <c r="T168" s="30"/>
      <c r="U168" s="30"/>
      <c r="V168" s="30"/>
      <c r="W168" s="30"/>
      <c r="X168" s="30"/>
      <c r="Y168" s="30"/>
      <c r="Z168" s="30"/>
      <c r="AA168" s="30"/>
      <c r="AB168" s="30"/>
      <c r="AC168" s="30"/>
    </row>
    <row r="169" ht="39.75" customHeight="1">
      <c r="A169" s="30"/>
      <c r="B169" s="31"/>
      <c r="C169" s="30"/>
      <c r="D169" s="30"/>
      <c r="E169" s="30"/>
      <c r="F169" s="30"/>
      <c r="G169" s="30"/>
      <c r="H169" s="30"/>
      <c r="I169" s="32"/>
      <c r="J169" s="30"/>
      <c r="K169" s="30"/>
      <c r="L169" s="30"/>
      <c r="M169" s="30"/>
      <c r="N169" s="30"/>
      <c r="O169" s="30"/>
      <c r="P169" s="30"/>
      <c r="Q169" s="30"/>
      <c r="R169" s="30"/>
      <c r="S169" s="30"/>
      <c r="T169" s="30"/>
      <c r="U169" s="30"/>
      <c r="V169" s="30"/>
      <c r="W169" s="30"/>
      <c r="X169" s="30"/>
      <c r="Y169" s="30"/>
      <c r="Z169" s="30"/>
      <c r="AA169" s="30"/>
      <c r="AB169" s="30"/>
      <c r="AC169" s="30"/>
    </row>
    <row r="170" ht="39.75" customHeight="1">
      <c r="A170" s="30"/>
      <c r="B170" s="31"/>
      <c r="C170" s="30"/>
      <c r="D170" s="30"/>
      <c r="E170" s="30"/>
      <c r="F170" s="30"/>
      <c r="G170" s="30"/>
      <c r="H170" s="30"/>
      <c r="I170" s="32"/>
      <c r="J170" s="30"/>
      <c r="K170" s="30"/>
      <c r="L170" s="30"/>
      <c r="M170" s="30"/>
      <c r="N170" s="30"/>
      <c r="O170" s="30"/>
      <c r="P170" s="30"/>
      <c r="Q170" s="30"/>
      <c r="R170" s="30"/>
      <c r="S170" s="30"/>
      <c r="T170" s="30"/>
      <c r="U170" s="30"/>
      <c r="V170" s="30"/>
      <c r="W170" s="30"/>
      <c r="X170" s="30"/>
      <c r="Y170" s="30"/>
      <c r="Z170" s="30"/>
      <c r="AA170" s="30"/>
      <c r="AB170" s="30"/>
      <c r="AC170" s="30"/>
    </row>
    <row r="171" ht="39.75" customHeight="1">
      <c r="A171" s="30"/>
      <c r="B171" s="31"/>
      <c r="C171" s="30"/>
      <c r="D171" s="30"/>
      <c r="E171" s="30"/>
      <c r="F171" s="30"/>
      <c r="G171" s="30"/>
      <c r="H171" s="30"/>
      <c r="I171" s="32"/>
      <c r="J171" s="30"/>
      <c r="K171" s="30"/>
      <c r="L171" s="30"/>
      <c r="M171" s="30"/>
      <c r="N171" s="30"/>
      <c r="O171" s="30"/>
      <c r="P171" s="30"/>
      <c r="Q171" s="30"/>
      <c r="R171" s="30"/>
      <c r="S171" s="30"/>
      <c r="T171" s="30"/>
      <c r="U171" s="30"/>
      <c r="V171" s="30"/>
      <c r="W171" s="30"/>
      <c r="X171" s="30"/>
      <c r="Y171" s="30"/>
      <c r="Z171" s="30"/>
      <c r="AA171" s="30"/>
      <c r="AB171" s="30"/>
      <c r="AC171" s="30"/>
    </row>
    <row r="172" ht="39.75" customHeight="1">
      <c r="A172" s="30"/>
      <c r="B172" s="31"/>
      <c r="C172" s="30"/>
      <c r="D172" s="30"/>
      <c r="E172" s="30"/>
      <c r="F172" s="30"/>
      <c r="G172" s="30"/>
      <c r="H172" s="30"/>
      <c r="I172" s="32"/>
      <c r="J172" s="30"/>
      <c r="K172" s="30"/>
      <c r="L172" s="30"/>
      <c r="M172" s="30"/>
      <c r="N172" s="30"/>
      <c r="O172" s="30"/>
      <c r="P172" s="30"/>
      <c r="Q172" s="30"/>
      <c r="R172" s="30"/>
      <c r="S172" s="30"/>
      <c r="T172" s="30"/>
      <c r="U172" s="30"/>
      <c r="V172" s="30"/>
      <c r="W172" s="30"/>
      <c r="X172" s="30"/>
      <c r="Y172" s="30"/>
      <c r="Z172" s="30"/>
      <c r="AA172" s="30"/>
      <c r="AB172" s="30"/>
      <c r="AC172" s="30"/>
    </row>
    <row r="173" ht="39.75" customHeight="1">
      <c r="A173" s="30"/>
      <c r="B173" s="31"/>
      <c r="C173" s="30"/>
      <c r="D173" s="30"/>
      <c r="E173" s="30"/>
      <c r="F173" s="30"/>
      <c r="G173" s="30"/>
      <c r="H173" s="30"/>
      <c r="I173" s="32"/>
      <c r="J173" s="30"/>
      <c r="K173" s="30"/>
      <c r="L173" s="30"/>
      <c r="M173" s="30"/>
      <c r="N173" s="30"/>
      <c r="O173" s="30"/>
      <c r="P173" s="30"/>
      <c r="Q173" s="30"/>
      <c r="R173" s="30"/>
      <c r="S173" s="30"/>
      <c r="T173" s="30"/>
      <c r="U173" s="30"/>
      <c r="V173" s="30"/>
      <c r="W173" s="30"/>
      <c r="X173" s="30"/>
      <c r="Y173" s="30"/>
      <c r="Z173" s="30"/>
      <c r="AA173" s="30"/>
      <c r="AB173" s="30"/>
      <c r="AC173" s="30"/>
    </row>
    <row r="174" ht="39.75" customHeight="1">
      <c r="A174" s="30"/>
      <c r="B174" s="31"/>
      <c r="C174" s="30"/>
      <c r="D174" s="30"/>
      <c r="E174" s="30"/>
      <c r="F174" s="30"/>
      <c r="G174" s="30"/>
      <c r="H174" s="30"/>
      <c r="I174" s="32"/>
      <c r="J174" s="30"/>
      <c r="K174" s="30"/>
      <c r="L174" s="30"/>
      <c r="M174" s="30"/>
      <c r="N174" s="30"/>
      <c r="O174" s="30"/>
      <c r="P174" s="30"/>
      <c r="Q174" s="30"/>
      <c r="R174" s="30"/>
      <c r="S174" s="30"/>
      <c r="T174" s="30"/>
      <c r="U174" s="30"/>
      <c r="V174" s="30"/>
      <c r="W174" s="30"/>
      <c r="X174" s="30"/>
      <c r="Y174" s="30"/>
      <c r="Z174" s="30"/>
      <c r="AA174" s="30"/>
      <c r="AB174" s="30"/>
      <c r="AC174" s="30"/>
    </row>
    <row r="175" ht="39.75" customHeight="1">
      <c r="A175" s="30"/>
      <c r="B175" s="31"/>
      <c r="C175" s="30"/>
      <c r="D175" s="30"/>
      <c r="E175" s="30"/>
      <c r="F175" s="30"/>
      <c r="G175" s="30"/>
      <c r="H175" s="30"/>
      <c r="I175" s="32"/>
      <c r="J175" s="30"/>
      <c r="K175" s="30"/>
      <c r="L175" s="30"/>
      <c r="M175" s="30"/>
      <c r="N175" s="30"/>
      <c r="O175" s="30"/>
      <c r="P175" s="30"/>
      <c r="Q175" s="30"/>
      <c r="R175" s="30"/>
      <c r="S175" s="30"/>
      <c r="T175" s="30"/>
      <c r="U175" s="30"/>
      <c r="V175" s="30"/>
      <c r="W175" s="30"/>
      <c r="X175" s="30"/>
      <c r="Y175" s="30"/>
      <c r="Z175" s="30"/>
      <c r="AA175" s="30"/>
      <c r="AB175" s="30"/>
      <c r="AC175" s="30"/>
    </row>
    <row r="176" ht="39.75" customHeight="1">
      <c r="A176" s="30"/>
      <c r="B176" s="31"/>
      <c r="C176" s="30"/>
      <c r="D176" s="30"/>
      <c r="E176" s="30"/>
      <c r="F176" s="30"/>
      <c r="G176" s="30"/>
      <c r="H176" s="30"/>
      <c r="I176" s="32"/>
      <c r="J176" s="30"/>
      <c r="K176" s="30"/>
      <c r="L176" s="30"/>
      <c r="M176" s="30"/>
      <c r="N176" s="30"/>
      <c r="O176" s="30"/>
      <c r="P176" s="30"/>
      <c r="Q176" s="30"/>
      <c r="R176" s="30"/>
      <c r="S176" s="30"/>
      <c r="T176" s="30"/>
      <c r="U176" s="30"/>
      <c r="V176" s="30"/>
      <c r="W176" s="30"/>
      <c r="X176" s="30"/>
      <c r="Y176" s="30"/>
      <c r="Z176" s="30"/>
      <c r="AA176" s="30"/>
      <c r="AB176" s="30"/>
      <c r="AC176" s="30"/>
    </row>
    <row r="177" ht="39.75" customHeight="1">
      <c r="A177" s="30"/>
      <c r="B177" s="31"/>
      <c r="C177" s="30"/>
      <c r="D177" s="30"/>
      <c r="E177" s="30"/>
      <c r="F177" s="30"/>
      <c r="G177" s="30"/>
      <c r="H177" s="30"/>
      <c r="I177" s="32"/>
      <c r="J177" s="30"/>
      <c r="K177" s="30"/>
      <c r="L177" s="30"/>
      <c r="M177" s="30"/>
      <c r="N177" s="30"/>
      <c r="O177" s="30"/>
      <c r="P177" s="30"/>
      <c r="Q177" s="30"/>
      <c r="R177" s="30"/>
      <c r="S177" s="30"/>
      <c r="T177" s="30"/>
      <c r="U177" s="30"/>
      <c r="V177" s="30"/>
      <c r="W177" s="30"/>
      <c r="X177" s="30"/>
      <c r="Y177" s="30"/>
      <c r="Z177" s="30"/>
      <c r="AA177" s="30"/>
      <c r="AB177" s="30"/>
      <c r="AC177" s="30"/>
    </row>
    <row r="178" ht="39.75" customHeight="1">
      <c r="A178" s="30"/>
      <c r="B178" s="31"/>
      <c r="C178" s="30"/>
      <c r="D178" s="30"/>
      <c r="E178" s="30"/>
      <c r="F178" s="30"/>
      <c r="G178" s="30"/>
      <c r="H178" s="30"/>
      <c r="I178" s="32"/>
      <c r="J178" s="30"/>
      <c r="K178" s="30"/>
      <c r="L178" s="30"/>
      <c r="M178" s="30"/>
      <c r="N178" s="30"/>
      <c r="O178" s="30"/>
      <c r="P178" s="30"/>
      <c r="Q178" s="30"/>
      <c r="R178" s="30"/>
      <c r="S178" s="30"/>
      <c r="T178" s="30"/>
      <c r="U178" s="30"/>
      <c r="V178" s="30"/>
      <c r="W178" s="30"/>
      <c r="X178" s="30"/>
      <c r="Y178" s="30"/>
      <c r="Z178" s="30"/>
      <c r="AA178" s="30"/>
      <c r="AB178" s="30"/>
      <c r="AC178" s="30"/>
    </row>
    <row r="179" ht="39.75" customHeight="1">
      <c r="A179" s="30"/>
      <c r="B179" s="31"/>
      <c r="C179" s="30"/>
      <c r="D179" s="30"/>
      <c r="E179" s="30"/>
      <c r="F179" s="30"/>
      <c r="G179" s="30"/>
      <c r="H179" s="30"/>
      <c r="I179" s="32"/>
      <c r="J179" s="30"/>
      <c r="K179" s="30"/>
      <c r="L179" s="30"/>
      <c r="M179" s="30"/>
      <c r="N179" s="30"/>
      <c r="O179" s="30"/>
      <c r="P179" s="30"/>
      <c r="Q179" s="30"/>
      <c r="R179" s="30"/>
      <c r="S179" s="30"/>
      <c r="T179" s="30"/>
      <c r="U179" s="30"/>
      <c r="V179" s="30"/>
      <c r="W179" s="30"/>
      <c r="X179" s="30"/>
      <c r="Y179" s="30"/>
      <c r="Z179" s="30"/>
      <c r="AA179" s="30"/>
      <c r="AB179" s="30"/>
      <c r="AC179" s="30"/>
    </row>
    <row r="180" ht="39.75" customHeight="1">
      <c r="A180" s="30"/>
      <c r="B180" s="31"/>
      <c r="C180" s="30"/>
      <c r="D180" s="30"/>
      <c r="E180" s="30"/>
      <c r="F180" s="30"/>
      <c r="G180" s="30"/>
      <c r="H180" s="30"/>
      <c r="I180" s="32"/>
      <c r="J180" s="30"/>
      <c r="K180" s="30"/>
      <c r="L180" s="30"/>
      <c r="M180" s="30"/>
      <c r="N180" s="30"/>
      <c r="O180" s="30"/>
      <c r="P180" s="30"/>
      <c r="Q180" s="30"/>
      <c r="R180" s="30"/>
      <c r="S180" s="30"/>
      <c r="T180" s="30"/>
      <c r="U180" s="30"/>
      <c r="V180" s="30"/>
      <c r="W180" s="30"/>
      <c r="X180" s="30"/>
      <c r="Y180" s="30"/>
      <c r="Z180" s="30"/>
      <c r="AA180" s="30"/>
      <c r="AB180" s="30"/>
      <c r="AC180" s="30"/>
    </row>
    <row r="181" ht="39.75" customHeight="1">
      <c r="A181" s="30"/>
      <c r="B181" s="31"/>
      <c r="C181" s="30"/>
      <c r="D181" s="30"/>
      <c r="E181" s="30"/>
      <c r="F181" s="30"/>
      <c r="G181" s="30"/>
      <c r="H181" s="30"/>
      <c r="I181" s="32"/>
      <c r="J181" s="30"/>
      <c r="K181" s="30"/>
      <c r="L181" s="30"/>
      <c r="M181" s="30"/>
      <c r="N181" s="30"/>
      <c r="O181" s="30"/>
      <c r="P181" s="30"/>
      <c r="Q181" s="30"/>
      <c r="R181" s="30"/>
      <c r="S181" s="30"/>
      <c r="T181" s="30"/>
      <c r="U181" s="30"/>
      <c r="V181" s="30"/>
      <c r="W181" s="30"/>
      <c r="X181" s="30"/>
      <c r="Y181" s="30"/>
      <c r="Z181" s="30"/>
      <c r="AA181" s="30"/>
      <c r="AB181" s="30"/>
      <c r="AC181" s="30"/>
    </row>
    <row r="182" ht="39.75" customHeight="1">
      <c r="A182" s="30"/>
      <c r="B182" s="31"/>
      <c r="C182" s="30"/>
      <c r="D182" s="30"/>
      <c r="E182" s="30"/>
      <c r="F182" s="30"/>
      <c r="G182" s="30"/>
      <c r="H182" s="30"/>
      <c r="I182" s="32"/>
      <c r="J182" s="30"/>
      <c r="K182" s="30"/>
      <c r="L182" s="30"/>
      <c r="M182" s="30"/>
      <c r="N182" s="30"/>
      <c r="O182" s="30"/>
      <c r="P182" s="30"/>
      <c r="Q182" s="30"/>
      <c r="R182" s="30"/>
      <c r="S182" s="30"/>
      <c r="T182" s="30"/>
      <c r="U182" s="30"/>
      <c r="V182" s="30"/>
      <c r="W182" s="30"/>
      <c r="X182" s="30"/>
      <c r="Y182" s="30"/>
      <c r="Z182" s="30"/>
      <c r="AA182" s="30"/>
      <c r="AB182" s="30"/>
      <c r="AC182" s="30"/>
    </row>
    <row r="183" ht="39.75" customHeight="1">
      <c r="A183" s="30"/>
      <c r="B183" s="31"/>
      <c r="C183" s="30"/>
      <c r="D183" s="30"/>
      <c r="E183" s="30"/>
      <c r="F183" s="30"/>
      <c r="G183" s="30"/>
      <c r="H183" s="30"/>
      <c r="I183" s="32"/>
      <c r="J183" s="30"/>
      <c r="K183" s="30"/>
      <c r="L183" s="30"/>
      <c r="M183" s="30"/>
      <c r="N183" s="30"/>
      <c r="O183" s="30"/>
      <c r="P183" s="30"/>
      <c r="Q183" s="30"/>
      <c r="R183" s="30"/>
      <c r="S183" s="30"/>
      <c r="T183" s="30"/>
      <c r="U183" s="30"/>
      <c r="V183" s="30"/>
      <c r="W183" s="30"/>
      <c r="X183" s="30"/>
      <c r="Y183" s="30"/>
      <c r="Z183" s="30"/>
      <c r="AA183" s="30"/>
      <c r="AB183" s="30"/>
      <c r="AC183" s="30"/>
    </row>
    <row r="184" ht="39.75" customHeight="1">
      <c r="A184" s="30"/>
      <c r="B184" s="31"/>
      <c r="C184" s="30"/>
      <c r="D184" s="30"/>
      <c r="E184" s="30"/>
      <c r="F184" s="30"/>
      <c r="G184" s="30"/>
      <c r="H184" s="30"/>
      <c r="I184" s="32"/>
      <c r="J184" s="30"/>
      <c r="K184" s="30"/>
      <c r="L184" s="30"/>
      <c r="M184" s="30"/>
      <c r="N184" s="30"/>
      <c r="O184" s="30"/>
      <c r="P184" s="30"/>
      <c r="Q184" s="30"/>
      <c r="R184" s="30"/>
      <c r="S184" s="30"/>
      <c r="T184" s="30"/>
      <c r="U184" s="30"/>
      <c r="V184" s="30"/>
      <c r="W184" s="30"/>
      <c r="X184" s="30"/>
      <c r="Y184" s="30"/>
      <c r="Z184" s="30"/>
      <c r="AA184" s="30"/>
      <c r="AB184" s="30"/>
      <c r="AC184" s="30"/>
    </row>
    <row r="185" ht="39.75" customHeight="1">
      <c r="A185" s="30"/>
      <c r="B185" s="31"/>
      <c r="C185" s="30"/>
      <c r="D185" s="30"/>
      <c r="E185" s="30"/>
      <c r="F185" s="30"/>
      <c r="G185" s="30"/>
      <c r="H185" s="30"/>
      <c r="I185" s="32"/>
      <c r="J185" s="30"/>
      <c r="K185" s="30"/>
      <c r="L185" s="30"/>
      <c r="M185" s="30"/>
      <c r="N185" s="30"/>
      <c r="O185" s="30"/>
      <c r="P185" s="30"/>
      <c r="Q185" s="30"/>
      <c r="R185" s="30"/>
      <c r="S185" s="30"/>
      <c r="T185" s="30"/>
      <c r="U185" s="30"/>
      <c r="V185" s="30"/>
      <c r="W185" s="30"/>
      <c r="X185" s="30"/>
      <c r="Y185" s="30"/>
      <c r="Z185" s="30"/>
      <c r="AA185" s="30"/>
      <c r="AB185" s="30"/>
      <c r="AC185" s="30"/>
    </row>
    <row r="186" ht="39.75" customHeight="1">
      <c r="A186" s="30"/>
      <c r="B186" s="31"/>
      <c r="C186" s="30"/>
      <c r="D186" s="30"/>
      <c r="E186" s="30"/>
      <c r="F186" s="30"/>
      <c r="G186" s="30"/>
      <c r="H186" s="30"/>
      <c r="I186" s="32"/>
      <c r="J186" s="30"/>
      <c r="K186" s="30"/>
      <c r="L186" s="30"/>
      <c r="M186" s="30"/>
      <c r="N186" s="30"/>
      <c r="O186" s="30"/>
      <c r="P186" s="30"/>
      <c r="Q186" s="30"/>
      <c r="R186" s="30"/>
      <c r="S186" s="30"/>
      <c r="T186" s="30"/>
      <c r="U186" s="30"/>
      <c r="V186" s="30"/>
      <c r="W186" s="30"/>
      <c r="X186" s="30"/>
      <c r="Y186" s="30"/>
      <c r="Z186" s="30"/>
      <c r="AA186" s="30"/>
      <c r="AB186" s="30"/>
      <c r="AC186" s="30"/>
    </row>
    <row r="187" ht="39.75" customHeight="1">
      <c r="A187" s="30"/>
      <c r="B187" s="31"/>
      <c r="C187" s="30"/>
      <c r="D187" s="30"/>
      <c r="E187" s="30"/>
      <c r="F187" s="30"/>
      <c r="G187" s="30"/>
      <c r="H187" s="30"/>
      <c r="I187" s="32"/>
      <c r="J187" s="30"/>
      <c r="K187" s="30"/>
      <c r="L187" s="30"/>
      <c r="M187" s="30"/>
      <c r="N187" s="30"/>
      <c r="O187" s="30"/>
      <c r="P187" s="30"/>
      <c r="Q187" s="30"/>
      <c r="R187" s="30"/>
      <c r="S187" s="30"/>
      <c r="T187" s="30"/>
      <c r="U187" s="30"/>
      <c r="V187" s="30"/>
      <c r="W187" s="30"/>
      <c r="X187" s="30"/>
      <c r="Y187" s="30"/>
      <c r="Z187" s="30"/>
      <c r="AA187" s="30"/>
      <c r="AB187" s="30"/>
      <c r="AC187" s="30"/>
    </row>
    <row r="188" ht="39.75" customHeight="1">
      <c r="A188" s="30"/>
      <c r="B188" s="31"/>
      <c r="C188" s="30"/>
      <c r="D188" s="30"/>
      <c r="E188" s="30"/>
      <c r="F188" s="30"/>
      <c r="G188" s="30"/>
      <c r="H188" s="30"/>
      <c r="I188" s="32"/>
      <c r="J188" s="30"/>
      <c r="K188" s="30"/>
      <c r="L188" s="30"/>
      <c r="M188" s="30"/>
      <c r="N188" s="30"/>
      <c r="O188" s="30"/>
      <c r="P188" s="30"/>
      <c r="Q188" s="30"/>
      <c r="R188" s="30"/>
      <c r="S188" s="30"/>
      <c r="T188" s="30"/>
      <c r="U188" s="30"/>
      <c r="V188" s="30"/>
      <c r="W188" s="30"/>
      <c r="X188" s="30"/>
      <c r="Y188" s="30"/>
      <c r="Z188" s="30"/>
      <c r="AA188" s="30"/>
      <c r="AB188" s="30"/>
      <c r="AC188" s="30"/>
    </row>
    <row r="189" ht="39.75" customHeight="1">
      <c r="A189" s="30"/>
      <c r="B189" s="31"/>
      <c r="C189" s="30"/>
      <c r="D189" s="30"/>
      <c r="E189" s="30"/>
      <c r="F189" s="30"/>
      <c r="G189" s="30"/>
      <c r="H189" s="30"/>
      <c r="I189" s="32"/>
      <c r="J189" s="30"/>
      <c r="K189" s="30"/>
      <c r="L189" s="30"/>
      <c r="M189" s="30"/>
      <c r="N189" s="30"/>
      <c r="O189" s="30"/>
      <c r="P189" s="30"/>
      <c r="Q189" s="30"/>
      <c r="R189" s="30"/>
      <c r="S189" s="30"/>
      <c r="T189" s="30"/>
      <c r="U189" s="30"/>
      <c r="V189" s="30"/>
      <c r="W189" s="30"/>
      <c r="X189" s="30"/>
      <c r="Y189" s="30"/>
      <c r="Z189" s="30"/>
      <c r="AA189" s="30"/>
      <c r="AB189" s="30"/>
      <c r="AC189" s="30"/>
    </row>
    <row r="190" ht="39.75" customHeight="1">
      <c r="A190" s="30"/>
      <c r="B190" s="31"/>
      <c r="C190" s="30"/>
      <c r="D190" s="30"/>
      <c r="E190" s="30"/>
      <c r="F190" s="30"/>
      <c r="G190" s="30"/>
      <c r="H190" s="30"/>
      <c r="I190" s="32"/>
      <c r="J190" s="30"/>
      <c r="K190" s="30"/>
      <c r="L190" s="30"/>
      <c r="M190" s="30"/>
      <c r="N190" s="30"/>
      <c r="O190" s="30"/>
      <c r="P190" s="30"/>
      <c r="Q190" s="30"/>
      <c r="R190" s="30"/>
      <c r="S190" s="30"/>
      <c r="T190" s="30"/>
      <c r="U190" s="30"/>
      <c r="V190" s="30"/>
      <c r="W190" s="30"/>
      <c r="X190" s="30"/>
      <c r="Y190" s="30"/>
      <c r="Z190" s="30"/>
      <c r="AA190" s="30"/>
      <c r="AB190" s="30"/>
      <c r="AC190" s="30"/>
    </row>
    <row r="191" ht="39.75" customHeight="1">
      <c r="A191" s="30"/>
      <c r="B191" s="31"/>
      <c r="C191" s="30"/>
      <c r="D191" s="30"/>
      <c r="E191" s="30"/>
      <c r="F191" s="30"/>
      <c r="G191" s="30"/>
      <c r="H191" s="30"/>
      <c r="I191" s="32"/>
      <c r="J191" s="30"/>
      <c r="K191" s="30"/>
      <c r="L191" s="30"/>
      <c r="M191" s="30"/>
      <c r="N191" s="30"/>
      <c r="O191" s="30"/>
      <c r="P191" s="30"/>
      <c r="Q191" s="30"/>
      <c r="R191" s="30"/>
      <c r="S191" s="30"/>
      <c r="T191" s="30"/>
      <c r="U191" s="30"/>
      <c r="V191" s="30"/>
      <c r="W191" s="30"/>
      <c r="X191" s="30"/>
      <c r="Y191" s="30"/>
      <c r="Z191" s="30"/>
      <c r="AA191" s="30"/>
      <c r="AB191" s="30"/>
      <c r="AC191" s="30"/>
    </row>
    <row r="192" ht="39.75" customHeight="1">
      <c r="A192" s="30"/>
      <c r="B192" s="31"/>
      <c r="C192" s="30"/>
      <c r="D192" s="30"/>
      <c r="E192" s="30"/>
      <c r="F192" s="30"/>
      <c r="G192" s="30"/>
      <c r="H192" s="30"/>
      <c r="I192" s="32"/>
      <c r="J192" s="30"/>
      <c r="K192" s="30"/>
      <c r="L192" s="30"/>
      <c r="M192" s="30"/>
      <c r="N192" s="30"/>
      <c r="O192" s="30"/>
      <c r="P192" s="30"/>
      <c r="Q192" s="30"/>
      <c r="R192" s="30"/>
      <c r="S192" s="30"/>
      <c r="T192" s="30"/>
      <c r="U192" s="30"/>
      <c r="V192" s="30"/>
      <c r="W192" s="30"/>
      <c r="X192" s="30"/>
      <c r="Y192" s="30"/>
      <c r="Z192" s="30"/>
      <c r="AA192" s="30"/>
      <c r="AB192" s="30"/>
      <c r="AC192" s="30"/>
    </row>
    <row r="193" ht="39.75" customHeight="1">
      <c r="A193" s="30"/>
      <c r="B193" s="31"/>
      <c r="C193" s="30"/>
      <c r="D193" s="30"/>
      <c r="E193" s="30"/>
      <c r="F193" s="30"/>
      <c r="G193" s="30"/>
      <c r="H193" s="30"/>
      <c r="I193" s="32"/>
      <c r="J193" s="30"/>
      <c r="K193" s="30"/>
      <c r="L193" s="30"/>
      <c r="M193" s="30"/>
      <c r="N193" s="30"/>
      <c r="O193" s="30"/>
      <c r="P193" s="30"/>
      <c r="Q193" s="30"/>
      <c r="R193" s="30"/>
      <c r="S193" s="30"/>
      <c r="T193" s="30"/>
      <c r="U193" s="30"/>
      <c r="V193" s="30"/>
      <c r="W193" s="30"/>
      <c r="X193" s="30"/>
      <c r="Y193" s="30"/>
      <c r="Z193" s="30"/>
      <c r="AA193" s="30"/>
      <c r="AB193" s="30"/>
      <c r="AC193" s="30"/>
    </row>
    <row r="194" ht="39.75" customHeight="1">
      <c r="A194" s="30"/>
      <c r="B194" s="31"/>
      <c r="C194" s="30"/>
      <c r="D194" s="30"/>
      <c r="E194" s="30"/>
      <c r="F194" s="30"/>
      <c r="G194" s="30"/>
      <c r="H194" s="30"/>
      <c r="I194" s="32"/>
      <c r="J194" s="30"/>
      <c r="K194" s="30"/>
      <c r="L194" s="30"/>
      <c r="M194" s="30"/>
      <c r="N194" s="30"/>
      <c r="O194" s="30"/>
      <c r="P194" s="30"/>
      <c r="Q194" s="30"/>
      <c r="R194" s="30"/>
      <c r="S194" s="30"/>
      <c r="T194" s="30"/>
      <c r="U194" s="30"/>
      <c r="V194" s="30"/>
      <c r="W194" s="30"/>
      <c r="X194" s="30"/>
      <c r="Y194" s="30"/>
      <c r="Z194" s="30"/>
      <c r="AA194" s="30"/>
      <c r="AB194" s="30"/>
      <c r="AC194" s="30"/>
    </row>
    <row r="195" ht="39.75" customHeight="1">
      <c r="A195" s="30"/>
      <c r="B195" s="31"/>
      <c r="C195" s="30"/>
      <c r="D195" s="30"/>
      <c r="E195" s="30"/>
      <c r="F195" s="30"/>
      <c r="G195" s="30"/>
      <c r="H195" s="30"/>
      <c r="I195" s="32"/>
      <c r="J195" s="30"/>
      <c r="K195" s="30"/>
      <c r="L195" s="30"/>
      <c r="M195" s="30"/>
      <c r="N195" s="30"/>
      <c r="O195" s="30"/>
      <c r="P195" s="30"/>
      <c r="Q195" s="30"/>
      <c r="R195" s="30"/>
      <c r="S195" s="30"/>
      <c r="T195" s="30"/>
      <c r="U195" s="30"/>
      <c r="V195" s="30"/>
      <c r="W195" s="30"/>
      <c r="X195" s="30"/>
      <c r="Y195" s="30"/>
      <c r="Z195" s="30"/>
      <c r="AA195" s="30"/>
      <c r="AB195" s="30"/>
      <c r="AC195" s="30"/>
    </row>
    <row r="196" ht="39.75" customHeight="1">
      <c r="A196" s="30"/>
      <c r="B196" s="31"/>
      <c r="C196" s="30"/>
      <c r="D196" s="30"/>
      <c r="E196" s="30"/>
      <c r="F196" s="30"/>
      <c r="G196" s="30"/>
      <c r="H196" s="30"/>
      <c r="I196" s="32"/>
      <c r="J196" s="30"/>
      <c r="K196" s="30"/>
      <c r="L196" s="30"/>
      <c r="M196" s="30"/>
      <c r="N196" s="30"/>
      <c r="O196" s="30"/>
      <c r="P196" s="30"/>
      <c r="Q196" s="30"/>
      <c r="R196" s="30"/>
      <c r="S196" s="30"/>
      <c r="T196" s="30"/>
      <c r="U196" s="30"/>
      <c r="V196" s="30"/>
      <c r="W196" s="30"/>
      <c r="X196" s="30"/>
      <c r="Y196" s="30"/>
      <c r="Z196" s="30"/>
      <c r="AA196" s="30"/>
      <c r="AB196" s="30"/>
      <c r="AC196" s="30"/>
    </row>
    <row r="197" ht="39.75" customHeight="1">
      <c r="A197" s="30"/>
      <c r="B197" s="31"/>
      <c r="C197" s="30"/>
      <c r="D197" s="30"/>
      <c r="E197" s="30"/>
      <c r="F197" s="30"/>
      <c r="G197" s="30"/>
      <c r="H197" s="30"/>
      <c r="I197" s="32"/>
      <c r="J197" s="30"/>
      <c r="K197" s="30"/>
      <c r="L197" s="30"/>
      <c r="M197" s="30"/>
      <c r="N197" s="30"/>
      <c r="O197" s="30"/>
      <c r="P197" s="30"/>
      <c r="Q197" s="30"/>
      <c r="R197" s="30"/>
      <c r="S197" s="30"/>
      <c r="T197" s="30"/>
      <c r="U197" s="30"/>
      <c r="V197" s="30"/>
      <c r="W197" s="30"/>
      <c r="X197" s="30"/>
      <c r="Y197" s="30"/>
      <c r="Z197" s="30"/>
      <c r="AA197" s="30"/>
      <c r="AB197" s="30"/>
      <c r="AC197" s="30"/>
    </row>
    <row r="198" ht="39.75" customHeight="1">
      <c r="A198" s="30"/>
      <c r="B198" s="31"/>
      <c r="C198" s="30"/>
      <c r="D198" s="30"/>
      <c r="E198" s="30"/>
      <c r="F198" s="30"/>
      <c r="G198" s="30"/>
      <c r="H198" s="30"/>
      <c r="I198" s="32"/>
      <c r="J198" s="30"/>
      <c r="K198" s="30"/>
      <c r="L198" s="30"/>
      <c r="M198" s="30"/>
      <c r="N198" s="30"/>
      <c r="O198" s="30"/>
      <c r="P198" s="30"/>
      <c r="Q198" s="30"/>
      <c r="R198" s="30"/>
      <c r="S198" s="30"/>
      <c r="T198" s="30"/>
      <c r="U198" s="30"/>
      <c r="V198" s="30"/>
      <c r="W198" s="30"/>
      <c r="X198" s="30"/>
      <c r="Y198" s="30"/>
      <c r="Z198" s="30"/>
      <c r="AA198" s="30"/>
      <c r="AB198" s="30"/>
      <c r="AC198" s="30"/>
    </row>
    <row r="199" ht="39.75" customHeight="1">
      <c r="A199" s="30"/>
      <c r="B199" s="31"/>
      <c r="C199" s="30"/>
      <c r="D199" s="30"/>
      <c r="E199" s="30"/>
      <c r="F199" s="30"/>
      <c r="G199" s="30"/>
      <c r="H199" s="30"/>
      <c r="I199" s="32"/>
      <c r="J199" s="30"/>
      <c r="K199" s="30"/>
      <c r="L199" s="30"/>
      <c r="M199" s="30"/>
      <c r="N199" s="30"/>
      <c r="O199" s="30"/>
      <c r="P199" s="30"/>
      <c r="Q199" s="30"/>
      <c r="R199" s="30"/>
      <c r="S199" s="30"/>
      <c r="T199" s="30"/>
      <c r="U199" s="30"/>
      <c r="V199" s="30"/>
      <c r="W199" s="30"/>
      <c r="X199" s="30"/>
      <c r="Y199" s="30"/>
      <c r="Z199" s="30"/>
      <c r="AA199" s="30"/>
      <c r="AB199" s="30"/>
      <c r="AC199" s="30"/>
    </row>
    <row r="200" ht="39.75" customHeight="1">
      <c r="A200" s="30"/>
      <c r="B200" s="31"/>
      <c r="C200" s="30"/>
      <c r="D200" s="30"/>
      <c r="E200" s="30"/>
      <c r="F200" s="30"/>
      <c r="G200" s="30"/>
      <c r="H200" s="30"/>
      <c r="I200" s="32"/>
      <c r="J200" s="30"/>
      <c r="K200" s="30"/>
      <c r="L200" s="30"/>
      <c r="M200" s="30"/>
      <c r="N200" s="30"/>
      <c r="O200" s="30"/>
      <c r="P200" s="30"/>
      <c r="Q200" s="30"/>
      <c r="R200" s="30"/>
      <c r="S200" s="30"/>
      <c r="T200" s="30"/>
      <c r="U200" s="30"/>
      <c r="V200" s="30"/>
      <c r="W200" s="30"/>
      <c r="X200" s="30"/>
      <c r="Y200" s="30"/>
      <c r="Z200" s="30"/>
      <c r="AA200" s="30"/>
      <c r="AB200" s="30"/>
      <c r="AC200" s="30"/>
    </row>
    <row r="201" ht="39.75" customHeight="1">
      <c r="A201" s="30"/>
      <c r="B201" s="31"/>
      <c r="C201" s="30"/>
      <c r="D201" s="30"/>
      <c r="E201" s="30"/>
      <c r="F201" s="30"/>
      <c r="G201" s="30"/>
      <c r="H201" s="30"/>
      <c r="I201" s="32"/>
      <c r="J201" s="30"/>
      <c r="K201" s="30"/>
      <c r="L201" s="30"/>
      <c r="M201" s="30"/>
      <c r="N201" s="30"/>
      <c r="O201" s="30"/>
      <c r="P201" s="30"/>
      <c r="Q201" s="30"/>
      <c r="R201" s="30"/>
      <c r="S201" s="30"/>
      <c r="T201" s="30"/>
      <c r="U201" s="30"/>
      <c r="V201" s="30"/>
      <c r="W201" s="30"/>
      <c r="X201" s="30"/>
      <c r="Y201" s="30"/>
      <c r="Z201" s="30"/>
      <c r="AA201" s="30"/>
      <c r="AB201" s="30"/>
      <c r="AC201" s="30"/>
    </row>
    <row r="202" ht="39.75" customHeight="1">
      <c r="A202" s="30"/>
      <c r="B202" s="31"/>
      <c r="C202" s="30"/>
      <c r="D202" s="30"/>
      <c r="E202" s="30"/>
      <c r="F202" s="30"/>
      <c r="G202" s="30"/>
      <c r="H202" s="30"/>
      <c r="I202" s="32"/>
      <c r="J202" s="30"/>
      <c r="K202" s="30"/>
      <c r="L202" s="30"/>
      <c r="M202" s="30"/>
      <c r="N202" s="30"/>
      <c r="O202" s="30"/>
      <c r="P202" s="30"/>
      <c r="Q202" s="30"/>
      <c r="R202" s="30"/>
      <c r="S202" s="30"/>
      <c r="T202" s="30"/>
      <c r="U202" s="30"/>
      <c r="V202" s="30"/>
      <c r="W202" s="30"/>
      <c r="X202" s="30"/>
      <c r="Y202" s="30"/>
      <c r="Z202" s="30"/>
      <c r="AA202" s="30"/>
      <c r="AB202" s="30"/>
      <c r="AC202" s="30"/>
    </row>
    <row r="203" ht="39.75" customHeight="1">
      <c r="A203" s="30"/>
      <c r="B203" s="31"/>
      <c r="C203" s="30"/>
      <c r="D203" s="30"/>
      <c r="E203" s="30"/>
      <c r="F203" s="30"/>
      <c r="G203" s="30"/>
      <c r="H203" s="30"/>
      <c r="I203" s="32"/>
      <c r="J203" s="30"/>
      <c r="K203" s="30"/>
      <c r="L203" s="30"/>
      <c r="M203" s="30"/>
      <c r="N203" s="30"/>
      <c r="O203" s="30"/>
      <c r="P203" s="30"/>
      <c r="Q203" s="30"/>
      <c r="R203" s="30"/>
      <c r="S203" s="30"/>
      <c r="T203" s="30"/>
      <c r="U203" s="30"/>
      <c r="V203" s="30"/>
      <c r="W203" s="30"/>
      <c r="X203" s="30"/>
      <c r="Y203" s="30"/>
      <c r="Z203" s="30"/>
      <c r="AA203" s="30"/>
      <c r="AB203" s="30"/>
      <c r="AC203" s="30"/>
    </row>
    <row r="204" ht="39.75" customHeight="1">
      <c r="A204" s="30"/>
      <c r="B204" s="31"/>
      <c r="C204" s="30"/>
      <c r="D204" s="30"/>
      <c r="E204" s="30"/>
      <c r="F204" s="30"/>
      <c r="G204" s="30"/>
      <c r="H204" s="30"/>
      <c r="I204" s="32"/>
      <c r="J204" s="30"/>
      <c r="K204" s="30"/>
      <c r="L204" s="30"/>
      <c r="M204" s="30"/>
      <c r="N204" s="30"/>
      <c r="O204" s="30"/>
      <c r="P204" s="30"/>
      <c r="Q204" s="30"/>
      <c r="R204" s="30"/>
      <c r="S204" s="30"/>
      <c r="T204" s="30"/>
      <c r="U204" s="30"/>
      <c r="V204" s="30"/>
      <c r="W204" s="30"/>
      <c r="X204" s="30"/>
      <c r="Y204" s="30"/>
      <c r="Z204" s="30"/>
      <c r="AA204" s="30"/>
      <c r="AB204" s="30"/>
      <c r="AC204" s="30"/>
    </row>
    <row r="205" ht="39.75" customHeight="1">
      <c r="A205" s="30"/>
      <c r="B205" s="31"/>
      <c r="C205" s="30"/>
      <c r="D205" s="30"/>
      <c r="E205" s="30"/>
      <c r="F205" s="30"/>
      <c r="G205" s="30"/>
      <c r="H205" s="30"/>
      <c r="I205" s="32"/>
      <c r="J205" s="30"/>
      <c r="K205" s="30"/>
      <c r="L205" s="30"/>
      <c r="M205" s="30"/>
      <c r="N205" s="30"/>
      <c r="O205" s="30"/>
      <c r="P205" s="30"/>
      <c r="Q205" s="30"/>
      <c r="R205" s="30"/>
      <c r="S205" s="30"/>
      <c r="T205" s="30"/>
      <c r="U205" s="30"/>
      <c r="V205" s="30"/>
      <c r="W205" s="30"/>
      <c r="X205" s="30"/>
      <c r="Y205" s="30"/>
      <c r="Z205" s="30"/>
      <c r="AA205" s="30"/>
      <c r="AB205" s="30"/>
      <c r="AC205" s="30"/>
    </row>
    <row r="206" ht="39.75" customHeight="1">
      <c r="A206" s="30"/>
      <c r="B206" s="31"/>
      <c r="C206" s="30"/>
      <c r="D206" s="30"/>
      <c r="E206" s="30"/>
      <c r="F206" s="30"/>
      <c r="G206" s="30"/>
      <c r="H206" s="30"/>
      <c r="I206" s="32"/>
      <c r="J206" s="30"/>
      <c r="K206" s="30"/>
      <c r="L206" s="30"/>
      <c r="M206" s="30"/>
      <c r="N206" s="30"/>
      <c r="O206" s="30"/>
      <c r="P206" s="30"/>
      <c r="Q206" s="30"/>
      <c r="R206" s="30"/>
      <c r="S206" s="30"/>
      <c r="T206" s="30"/>
      <c r="U206" s="30"/>
      <c r="V206" s="30"/>
      <c r="W206" s="30"/>
      <c r="X206" s="30"/>
      <c r="Y206" s="30"/>
      <c r="Z206" s="30"/>
      <c r="AA206" s="30"/>
      <c r="AB206" s="30"/>
      <c r="AC206" s="30"/>
    </row>
    <row r="207" ht="39.75" customHeight="1">
      <c r="A207" s="30"/>
      <c r="B207" s="31"/>
      <c r="C207" s="30"/>
      <c r="D207" s="30"/>
      <c r="E207" s="30"/>
      <c r="F207" s="30"/>
      <c r="G207" s="30"/>
      <c r="H207" s="30"/>
      <c r="I207" s="32"/>
      <c r="J207" s="30"/>
      <c r="K207" s="30"/>
      <c r="L207" s="30"/>
      <c r="M207" s="30"/>
      <c r="N207" s="30"/>
      <c r="O207" s="30"/>
      <c r="P207" s="30"/>
      <c r="Q207" s="30"/>
      <c r="R207" s="30"/>
      <c r="S207" s="30"/>
      <c r="T207" s="30"/>
      <c r="U207" s="30"/>
      <c r="V207" s="30"/>
      <c r="W207" s="30"/>
      <c r="X207" s="30"/>
      <c r="Y207" s="30"/>
      <c r="Z207" s="30"/>
      <c r="AA207" s="30"/>
      <c r="AB207" s="30"/>
      <c r="AC207" s="30"/>
    </row>
    <row r="208" ht="39.75" customHeight="1">
      <c r="A208" s="30"/>
      <c r="B208" s="31"/>
      <c r="C208" s="30"/>
      <c r="D208" s="30"/>
      <c r="E208" s="30"/>
      <c r="F208" s="30"/>
      <c r="G208" s="30"/>
      <c r="H208" s="30"/>
      <c r="I208" s="32"/>
      <c r="J208" s="30"/>
      <c r="K208" s="30"/>
      <c r="L208" s="30"/>
      <c r="M208" s="30"/>
      <c r="N208" s="30"/>
      <c r="O208" s="30"/>
      <c r="P208" s="30"/>
      <c r="Q208" s="30"/>
      <c r="R208" s="30"/>
      <c r="S208" s="30"/>
      <c r="T208" s="30"/>
      <c r="U208" s="30"/>
      <c r="V208" s="30"/>
      <c r="W208" s="30"/>
      <c r="X208" s="30"/>
      <c r="Y208" s="30"/>
      <c r="Z208" s="30"/>
      <c r="AA208" s="30"/>
      <c r="AB208" s="30"/>
      <c r="AC208" s="30"/>
    </row>
    <row r="209" ht="39.75" customHeight="1">
      <c r="A209" s="30"/>
      <c r="B209" s="31"/>
      <c r="C209" s="30"/>
      <c r="D209" s="30"/>
      <c r="E209" s="30"/>
      <c r="F209" s="30"/>
      <c r="G209" s="30"/>
      <c r="H209" s="30"/>
      <c r="I209" s="32"/>
      <c r="J209" s="30"/>
      <c r="K209" s="30"/>
      <c r="L209" s="30"/>
      <c r="M209" s="30"/>
      <c r="N209" s="30"/>
      <c r="O209" s="30"/>
      <c r="P209" s="30"/>
      <c r="Q209" s="30"/>
      <c r="R209" s="30"/>
      <c r="S209" s="30"/>
      <c r="T209" s="30"/>
      <c r="U209" s="30"/>
      <c r="V209" s="30"/>
      <c r="W209" s="30"/>
      <c r="X209" s="30"/>
      <c r="Y209" s="30"/>
      <c r="Z209" s="30"/>
      <c r="AA209" s="30"/>
      <c r="AB209" s="30"/>
      <c r="AC209" s="30"/>
    </row>
    <row r="210" ht="39.75" customHeight="1">
      <c r="A210" s="30"/>
      <c r="B210" s="31"/>
      <c r="C210" s="30"/>
      <c r="D210" s="30"/>
      <c r="E210" s="30"/>
      <c r="F210" s="30"/>
      <c r="G210" s="30"/>
      <c r="H210" s="30"/>
      <c r="I210" s="32"/>
      <c r="J210" s="30"/>
      <c r="K210" s="30"/>
      <c r="L210" s="30"/>
      <c r="M210" s="30"/>
      <c r="N210" s="30"/>
      <c r="O210" s="30"/>
      <c r="P210" s="30"/>
      <c r="Q210" s="30"/>
      <c r="R210" s="30"/>
      <c r="S210" s="30"/>
      <c r="T210" s="30"/>
      <c r="U210" s="30"/>
      <c r="V210" s="30"/>
      <c r="W210" s="30"/>
      <c r="X210" s="30"/>
      <c r="Y210" s="30"/>
      <c r="Z210" s="30"/>
      <c r="AA210" s="30"/>
      <c r="AB210" s="30"/>
      <c r="AC210" s="30"/>
    </row>
    <row r="211" ht="39.75" customHeight="1">
      <c r="A211" s="30"/>
      <c r="B211" s="31"/>
      <c r="C211" s="30"/>
      <c r="D211" s="30"/>
      <c r="E211" s="30"/>
      <c r="F211" s="30"/>
      <c r="G211" s="30"/>
      <c r="H211" s="30"/>
      <c r="I211" s="32"/>
      <c r="J211" s="30"/>
      <c r="K211" s="30"/>
      <c r="L211" s="30"/>
      <c r="M211" s="30"/>
      <c r="N211" s="30"/>
      <c r="O211" s="30"/>
      <c r="P211" s="30"/>
      <c r="Q211" s="30"/>
      <c r="R211" s="30"/>
      <c r="S211" s="30"/>
      <c r="T211" s="30"/>
      <c r="U211" s="30"/>
      <c r="V211" s="30"/>
      <c r="W211" s="30"/>
      <c r="X211" s="30"/>
      <c r="Y211" s="30"/>
      <c r="Z211" s="30"/>
      <c r="AA211" s="30"/>
      <c r="AB211" s="30"/>
      <c r="AC211" s="30"/>
    </row>
    <row r="212" ht="39.75" customHeight="1">
      <c r="A212" s="30"/>
      <c r="B212" s="31"/>
      <c r="C212" s="30"/>
      <c r="D212" s="30"/>
      <c r="E212" s="30"/>
      <c r="F212" s="30"/>
      <c r="G212" s="30"/>
      <c r="H212" s="30"/>
      <c r="I212" s="32"/>
      <c r="J212" s="30"/>
      <c r="K212" s="30"/>
      <c r="L212" s="30"/>
      <c r="M212" s="30"/>
      <c r="N212" s="30"/>
      <c r="O212" s="30"/>
      <c r="P212" s="30"/>
      <c r="Q212" s="30"/>
      <c r="R212" s="30"/>
      <c r="S212" s="30"/>
      <c r="T212" s="30"/>
      <c r="U212" s="30"/>
      <c r="V212" s="30"/>
      <c r="W212" s="30"/>
      <c r="X212" s="30"/>
      <c r="Y212" s="30"/>
      <c r="Z212" s="30"/>
      <c r="AA212" s="30"/>
      <c r="AB212" s="30"/>
      <c r="AC212" s="30"/>
    </row>
    <row r="213" ht="39.75" customHeight="1">
      <c r="A213" s="30"/>
      <c r="B213" s="31"/>
      <c r="C213" s="30"/>
      <c r="D213" s="30"/>
      <c r="E213" s="30"/>
      <c r="F213" s="30"/>
      <c r="G213" s="30"/>
      <c r="H213" s="30"/>
      <c r="I213" s="32"/>
      <c r="J213" s="30"/>
      <c r="K213" s="30"/>
      <c r="L213" s="30"/>
      <c r="M213" s="30"/>
      <c r="N213" s="30"/>
      <c r="O213" s="30"/>
      <c r="P213" s="30"/>
      <c r="Q213" s="30"/>
      <c r="R213" s="30"/>
      <c r="S213" s="30"/>
      <c r="T213" s="30"/>
      <c r="U213" s="30"/>
      <c r="V213" s="30"/>
      <c r="W213" s="30"/>
      <c r="X213" s="30"/>
      <c r="Y213" s="30"/>
      <c r="Z213" s="30"/>
      <c r="AA213" s="30"/>
      <c r="AB213" s="30"/>
      <c r="AC213" s="30"/>
    </row>
    <row r="214" ht="39.75" customHeight="1">
      <c r="A214" s="30"/>
      <c r="B214" s="31"/>
      <c r="C214" s="30"/>
      <c r="D214" s="30"/>
      <c r="E214" s="30"/>
      <c r="F214" s="30"/>
      <c r="G214" s="30"/>
      <c r="H214" s="30"/>
      <c r="I214" s="32"/>
      <c r="J214" s="30"/>
      <c r="K214" s="30"/>
      <c r="L214" s="30"/>
      <c r="M214" s="30"/>
      <c r="N214" s="30"/>
      <c r="O214" s="30"/>
      <c r="P214" s="30"/>
      <c r="Q214" s="30"/>
      <c r="R214" s="30"/>
      <c r="S214" s="30"/>
      <c r="T214" s="30"/>
      <c r="U214" s="30"/>
      <c r="V214" s="30"/>
      <c r="W214" s="30"/>
      <c r="X214" s="30"/>
      <c r="Y214" s="30"/>
      <c r="Z214" s="30"/>
      <c r="AA214" s="30"/>
      <c r="AB214" s="30"/>
      <c r="AC214" s="30"/>
    </row>
    <row r="215" ht="39.75" customHeight="1">
      <c r="A215" s="30"/>
      <c r="B215" s="31"/>
      <c r="C215" s="30"/>
      <c r="D215" s="30"/>
      <c r="E215" s="30"/>
      <c r="F215" s="30"/>
      <c r="G215" s="30"/>
      <c r="H215" s="30"/>
      <c r="I215" s="32"/>
      <c r="J215" s="30"/>
      <c r="K215" s="30"/>
      <c r="L215" s="30"/>
      <c r="M215" s="30"/>
      <c r="N215" s="30"/>
      <c r="O215" s="30"/>
      <c r="P215" s="30"/>
      <c r="Q215" s="30"/>
      <c r="R215" s="30"/>
      <c r="S215" s="30"/>
      <c r="T215" s="30"/>
      <c r="U215" s="30"/>
      <c r="V215" s="30"/>
      <c r="W215" s="30"/>
      <c r="X215" s="30"/>
      <c r="Y215" s="30"/>
      <c r="Z215" s="30"/>
      <c r="AA215" s="30"/>
      <c r="AB215" s="30"/>
      <c r="AC215" s="30"/>
    </row>
    <row r="216" ht="39.75" customHeight="1">
      <c r="A216" s="30"/>
      <c r="B216" s="31"/>
      <c r="C216" s="30"/>
      <c r="D216" s="30"/>
      <c r="E216" s="30"/>
      <c r="F216" s="30"/>
      <c r="G216" s="30"/>
      <c r="H216" s="30"/>
      <c r="I216" s="32"/>
      <c r="J216" s="30"/>
      <c r="K216" s="30"/>
      <c r="L216" s="30"/>
      <c r="M216" s="30"/>
      <c r="N216" s="30"/>
      <c r="O216" s="30"/>
      <c r="P216" s="30"/>
      <c r="Q216" s="30"/>
      <c r="R216" s="30"/>
      <c r="S216" s="30"/>
      <c r="T216" s="30"/>
      <c r="U216" s="30"/>
      <c r="V216" s="30"/>
      <c r="W216" s="30"/>
      <c r="X216" s="30"/>
      <c r="Y216" s="30"/>
      <c r="Z216" s="30"/>
      <c r="AA216" s="30"/>
      <c r="AB216" s="30"/>
      <c r="AC216" s="30"/>
    </row>
    <row r="217" ht="39.75" customHeight="1">
      <c r="A217" s="30"/>
      <c r="B217" s="31"/>
      <c r="C217" s="30"/>
      <c r="D217" s="30"/>
      <c r="E217" s="30"/>
      <c r="F217" s="30"/>
      <c r="G217" s="30"/>
      <c r="H217" s="30"/>
      <c r="I217" s="32"/>
      <c r="J217" s="30"/>
      <c r="K217" s="30"/>
      <c r="L217" s="30"/>
      <c r="M217" s="30"/>
      <c r="N217" s="30"/>
      <c r="O217" s="30"/>
      <c r="P217" s="30"/>
      <c r="Q217" s="30"/>
      <c r="R217" s="30"/>
      <c r="S217" s="30"/>
      <c r="T217" s="30"/>
      <c r="U217" s="30"/>
      <c r="V217" s="30"/>
      <c r="W217" s="30"/>
      <c r="X217" s="30"/>
      <c r="Y217" s="30"/>
      <c r="Z217" s="30"/>
      <c r="AA217" s="30"/>
      <c r="AB217" s="30"/>
      <c r="AC217" s="30"/>
    </row>
    <row r="218" ht="39.75" customHeight="1">
      <c r="A218" s="30"/>
      <c r="B218" s="31"/>
      <c r="C218" s="30"/>
      <c r="D218" s="30"/>
      <c r="E218" s="30"/>
      <c r="F218" s="30"/>
      <c r="G218" s="30"/>
      <c r="H218" s="30"/>
      <c r="I218" s="32"/>
      <c r="J218" s="30"/>
      <c r="K218" s="30"/>
      <c r="L218" s="30"/>
      <c r="M218" s="30"/>
      <c r="N218" s="30"/>
      <c r="O218" s="30"/>
      <c r="P218" s="30"/>
      <c r="Q218" s="30"/>
      <c r="R218" s="30"/>
      <c r="S218" s="30"/>
      <c r="T218" s="30"/>
      <c r="U218" s="30"/>
      <c r="V218" s="30"/>
      <c r="W218" s="30"/>
      <c r="X218" s="30"/>
      <c r="Y218" s="30"/>
      <c r="Z218" s="30"/>
      <c r="AA218" s="30"/>
      <c r="AB218" s="30"/>
      <c r="AC218" s="30"/>
    </row>
    <row r="219" ht="39.75" customHeight="1">
      <c r="A219" s="30"/>
      <c r="B219" s="31"/>
      <c r="C219" s="30"/>
      <c r="D219" s="30"/>
      <c r="E219" s="30"/>
      <c r="F219" s="30"/>
      <c r="G219" s="30"/>
      <c r="H219" s="30"/>
      <c r="I219" s="32"/>
      <c r="J219" s="30"/>
      <c r="K219" s="30"/>
      <c r="L219" s="30"/>
      <c r="M219" s="30"/>
      <c r="N219" s="30"/>
      <c r="O219" s="30"/>
      <c r="P219" s="30"/>
      <c r="Q219" s="30"/>
      <c r="R219" s="30"/>
      <c r="S219" s="30"/>
      <c r="T219" s="30"/>
      <c r="U219" s="30"/>
      <c r="V219" s="30"/>
      <c r="W219" s="30"/>
      <c r="X219" s="30"/>
      <c r="Y219" s="30"/>
      <c r="Z219" s="30"/>
      <c r="AA219" s="30"/>
      <c r="AB219" s="30"/>
      <c r="AC219" s="30"/>
    </row>
    <row r="220" ht="39.75" customHeight="1">
      <c r="A220" s="30"/>
      <c r="B220" s="31"/>
      <c r="C220" s="30"/>
      <c r="D220" s="30"/>
      <c r="E220" s="30"/>
      <c r="F220" s="30"/>
      <c r="G220" s="30"/>
      <c r="H220" s="30"/>
      <c r="I220" s="32"/>
      <c r="J220" s="30"/>
      <c r="K220" s="30"/>
      <c r="L220" s="30"/>
      <c r="M220" s="30"/>
      <c r="N220" s="30"/>
      <c r="O220" s="30"/>
      <c r="P220" s="30"/>
      <c r="Q220" s="30"/>
      <c r="R220" s="30"/>
      <c r="S220" s="30"/>
      <c r="T220" s="30"/>
      <c r="U220" s="30"/>
      <c r="V220" s="30"/>
      <c r="W220" s="30"/>
      <c r="X220" s="30"/>
      <c r="Y220" s="30"/>
      <c r="Z220" s="30"/>
      <c r="AA220" s="30"/>
      <c r="AB220" s="30"/>
      <c r="AC220" s="30"/>
    </row>
    <row r="221" ht="39.75" customHeight="1">
      <c r="A221" s="30"/>
      <c r="B221" s="31"/>
      <c r="C221" s="30"/>
      <c r="D221" s="30"/>
      <c r="E221" s="30"/>
      <c r="F221" s="30"/>
      <c r="G221" s="30"/>
      <c r="H221" s="30"/>
      <c r="I221" s="32"/>
      <c r="J221" s="30"/>
      <c r="K221" s="30"/>
      <c r="L221" s="30"/>
      <c r="M221" s="30"/>
      <c r="N221" s="30"/>
      <c r="O221" s="30"/>
      <c r="P221" s="30"/>
      <c r="Q221" s="30"/>
      <c r="R221" s="30"/>
      <c r="S221" s="30"/>
      <c r="T221" s="30"/>
      <c r="U221" s="30"/>
      <c r="V221" s="30"/>
      <c r="W221" s="30"/>
      <c r="X221" s="30"/>
      <c r="Y221" s="30"/>
      <c r="Z221" s="30"/>
      <c r="AA221" s="30"/>
      <c r="AB221" s="30"/>
      <c r="AC221" s="30"/>
    </row>
    <row r="222" ht="39.75" customHeight="1">
      <c r="A222" s="30"/>
      <c r="B222" s="31"/>
      <c r="C222" s="30"/>
      <c r="D222" s="30"/>
      <c r="E222" s="30"/>
      <c r="F222" s="30"/>
      <c r="G222" s="30"/>
      <c r="H222" s="30"/>
      <c r="I222" s="32"/>
      <c r="J222" s="30"/>
      <c r="K222" s="30"/>
      <c r="L222" s="30"/>
      <c r="M222" s="30"/>
      <c r="N222" s="30"/>
      <c r="O222" s="30"/>
      <c r="P222" s="30"/>
      <c r="Q222" s="30"/>
      <c r="R222" s="30"/>
      <c r="S222" s="30"/>
      <c r="T222" s="30"/>
      <c r="U222" s="30"/>
      <c r="V222" s="30"/>
      <c r="W222" s="30"/>
      <c r="X222" s="30"/>
      <c r="Y222" s="30"/>
      <c r="Z222" s="30"/>
      <c r="AA222" s="30"/>
      <c r="AB222" s="30"/>
      <c r="AC222" s="30"/>
    </row>
    <row r="223" ht="39.75" customHeight="1">
      <c r="A223" s="30"/>
      <c r="B223" s="31"/>
      <c r="C223" s="30"/>
      <c r="D223" s="30"/>
      <c r="E223" s="30"/>
      <c r="F223" s="30"/>
      <c r="G223" s="30"/>
      <c r="H223" s="30"/>
      <c r="I223" s="32"/>
      <c r="J223" s="30"/>
      <c r="K223" s="30"/>
      <c r="L223" s="30"/>
      <c r="M223" s="30"/>
      <c r="N223" s="30"/>
      <c r="O223" s="30"/>
      <c r="P223" s="30"/>
      <c r="Q223" s="30"/>
      <c r="R223" s="30"/>
      <c r="S223" s="30"/>
      <c r="T223" s="30"/>
      <c r="U223" s="30"/>
      <c r="V223" s="30"/>
      <c r="W223" s="30"/>
      <c r="X223" s="30"/>
      <c r="Y223" s="30"/>
      <c r="Z223" s="30"/>
      <c r="AA223" s="30"/>
      <c r="AB223" s="30"/>
      <c r="AC223" s="30"/>
    </row>
    <row r="224" ht="39.75" customHeight="1">
      <c r="A224" s="30"/>
      <c r="B224" s="31"/>
      <c r="C224" s="30"/>
      <c r="D224" s="30"/>
      <c r="E224" s="30"/>
      <c r="F224" s="30"/>
      <c r="G224" s="30"/>
      <c r="H224" s="30"/>
      <c r="I224" s="32"/>
      <c r="J224" s="30"/>
      <c r="K224" s="30"/>
      <c r="L224" s="30"/>
      <c r="M224" s="30"/>
      <c r="N224" s="30"/>
      <c r="O224" s="30"/>
      <c r="P224" s="30"/>
      <c r="Q224" s="30"/>
      <c r="R224" s="30"/>
      <c r="S224" s="30"/>
      <c r="T224" s="30"/>
      <c r="U224" s="30"/>
      <c r="V224" s="30"/>
      <c r="W224" s="30"/>
      <c r="X224" s="30"/>
      <c r="Y224" s="30"/>
      <c r="Z224" s="30"/>
      <c r="AA224" s="30"/>
      <c r="AB224" s="30"/>
      <c r="AC224" s="30"/>
    </row>
    <row r="225" ht="39.75" customHeight="1">
      <c r="A225" s="30"/>
      <c r="B225" s="31"/>
      <c r="C225" s="30"/>
      <c r="D225" s="30"/>
      <c r="E225" s="30"/>
      <c r="F225" s="30"/>
      <c r="G225" s="30"/>
      <c r="H225" s="30"/>
      <c r="I225" s="32"/>
      <c r="J225" s="30"/>
      <c r="K225" s="30"/>
      <c r="L225" s="30"/>
      <c r="M225" s="30"/>
      <c r="N225" s="30"/>
      <c r="O225" s="30"/>
      <c r="P225" s="30"/>
      <c r="Q225" s="30"/>
      <c r="R225" s="30"/>
      <c r="S225" s="30"/>
      <c r="T225" s="30"/>
      <c r="U225" s="30"/>
      <c r="V225" s="30"/>
      <c r="W225" s="30"/>
      <c r="X225" s="30"/>
      <c r="Y225" s="30"/>
      <c r="Z225" s="30"/>
      <c r="AA225" s="30"/>
      <c r="AB225" s="30"/>
      <c r="AC225" s="30"/>
    </row>
    <row r="226" ht="39.75" customHeight="1">
      <c r="A226" s="30"/>
      <c r="B226" s="31"/>
      <c r="C226" s="30"/>
      <c r="D226" s="30"/>
      <c r="E226" s="30"/>
      <c r="F226" s="30"/>
      <c r="G226" s="30"/>
      <c r="H226" s="30"/>
      <c r="I226" s="32"/>
      <c r="J226" s="30"/>
      <c r="K226" s="30"/>
      <c r="L226" s="30"/>
      <c r="M226" s="30"/>
      <c r="N226" s="30"/>
      <c r="O226" s="30"/>
      <c r="P226" s="30"/>
      <c r="Q226" s="30"/>
      <c r="R226" s="30"/>
      <c r="S226" s="30"/>
      <c r="T226" s="30"/>
      <c r="U226" s="30"/>
      <c r="V226" s="30"/>
      <c r="W226" s="30"/>
      <c r="X226" s="30"/>
      <c r="Y226" s="30"/>
      <c r="Z226" s="30"/>
      <c r="AA226" s="30"/>
      <c r="AB226" s="30"/>
      <c r="AC226" s="30"/>
    </row>
    <row r="227" ht="39.75" customHeight="1">
      <c r="A227" s="30"/>
      <c r="B227" s="31"/>
      <c r="C227" s="30"/>
      <c r="D227" s="30"/>
      <c r="E227" s="30"/>
      <c r="F227" s="30"/>
      <c r="G227" s="30"/>
      <c r="H227" s="30"/>
      <c r="I227" s="32"/>
      <c r="J227" s="30"/>
      <c r="K227" s="30"/>
      <c r="L227" s="30"/>
      <c r="M227" s="30"/>
      <c r="N227" s="30"/>
      <c r="O227" s="30"/>
      <c r="P227" s="30"/>
      <c r="Q227" s="30"/>
      <c r="R227" s="30"/>
      <c r="S227" s="30"/>
      <c r="T227" s="30"/>
      <c r="U227" s="30"/>
      <c r="V227" s="30"/>
      <c r="W227" s="30"/>
      <c r="X227" s="30"/>
      <c r="Y227" s="30"/>
      <c r="Z227" s="30"/>
      <c r="AA227" s="30"/>
      <c r="AB227" s="30"/>
      <c r="AC227" s="30"/>
    </row>
    <row r="228" ht="39.75" customHeight="1">
      <c r="A228" s="30"/>
      <c r="B228" s="31"/>
      <c r="C228" s="30"/>
      <c r="D228" s="30"/>
      <c r="E228" s="30"/>
      <c r="F228" s="30"/>
      <c r="G228" s="30"/>
      <c r="H228" s="30"/>
      <c r="I228" s="32"/>
      <c r="J228" s="30"/>
      <c r="K228" s="30"/>
      <c r="L228" s="30"/>
      <c r="M228" s="30"/>
      <c r="N228" s="30"/>
      <c r="O228" s="30"/>
      <c r="P228" s="30"/>
      <c r="Q228" s="30"/>
      <c r="R228" s="30"/>
      <c r="S228" s="30"/>
      <c r="T228" s="30"/>
      <c r="U228" s="30"/>
      <c r="V228" s="30"/>
      <c r="W228" s="30"/>
      <c r="X228" s="30"/>
      <c r="Y228" s="30"/>
      <c r="Z228" s="30"/>
      <c r="AA228" s="30"/>
      <c r="AB228" s="30"/>
      <c r="AC228" s="30"/>
    </row>
    <row r="229" ht="39.75" customHeight="1">
      <c r="A229" s="30"/>
      <c r="B229" s="31"/>
      <c r="C229" s="30"/>
      <c r="D229" s="30"/>
      <c r="E229" s="30"/>
      <c r="F229" s="30"/>
      <c r="G229" s="30"/>
      <c r="H229" s="30"/>
      <c r="I229" s="32"/>
      <c r="J229" s="30"/>
      <c r="K229" s="30"/>
      <c r="L229" s="30"/>
      <c r="M229" s="30"/>
      <c r="N229" s="30"/>
      <c r="O229" s="30"/>
      <c r="P229" s="30"/>
      <c r="Q229" s="30"/>
      <c r="R229" s="30"/>
      <c r="S229" s="30"/>
      <c r="T229" s="30"/>
      <c r="U229" s="30"/>
      <c r="V229" s="30"/>
      <c r="W229" s="30"/>
      <c r="X229" s="30"/>
      <c r="Y229" s="30"/>
      <c r="Z229" s="30"/>
      <c r="AA229" s="30"/>
      <c r="AB229" s="30"/>
      <c r="AC229" s="30"/>
    </row>
    <row r="230" ht="39.75" customHeight="1">
      <c r="A230" s="30"/>
      <c r="B230" s="31"/>
      <c r="C230" s="30"/>
      <c r="D230" s="30"/>
      <c r="E230" s="30"/>
      <c r="F230" s="30"/>
      <c r="G230" s="30"/>
      <c r="H230" s="30"/>
      <c r="I230" s="32"/>
      <c r="J230" s="30"/>
      <c r="K230" s="30"/>
      <c r="L230" s="30"/>
      <c r="M230" s="30"/>
      <c r="N230" s="30"/>
      <c r="O230" s="30"/>
      <c r="P230" s="30"/>
      <c r="Q230" s="30"/>
      <c r="R230" s="30"/>
      <c r="S230" s="30"/>
      <c r="T230" s="30"/>
      <c r="U230" s="30"/>
      <c r="V230" s="30"/>
      <c r="W230" s="30"/>
      <c r="X230" s="30"/>
      <c r="Y230" s="30"/>
      <c r="Z230" s="30"/>
      <c r="AA230" s="30"/>
      <c r="AB230" s="30"/>
      <c r="AC230" s="30"/>
    </row>
    <row r="231" ht="39.75" customHeight="1">
      <c r="A231" s="30"/>
      <c r="B231" s="31"/>
      <c r="C231" s="30"/>
      <c r="D231" s="30"/>
      <c r="E231" s="30"/>
      <c r="F231" s="30"/>
      <c r="G231" s="30"/>
      <c r="H231" s="30"/>
      <c r="I231" s="32"/>
      <c r="J231" s="30"/>
      <c r="K231" s="30"/>
      <c r="L231" s="30"/>
      <c r="M231" s="30"/>
      <c r="N231" s="30"/>
      <c r="O231" s="30"/>
      <c r="P231" s="30"/>
      <c r="Q231" s="30"/>
      <c r="R231" s="30"/>
      <c r="S231" s="30"/>
      <c r="T231" s="30"/>
      <c r="U231" s="30"/>
      <c r="V231" s="30"/>
      <c r="W231" s="30"/>
      <c r="X231" s="30"/>
      <c r="Y231" s="30"/>
      <c r="Z231" s="30"/>
      <c r="AA231" s="30"/>
      <c r="AB231" s="30"/>
      <c r="AC231" s="30"/>
    </row>
    <row r="232" ht="39.75" customHeight="1">
      <c r="A232" s="30"/>
      <c r="B232" s="31"/>
      <c r="C232" s="30"/>
      <c r="D232" s="30"/>
      <c r="E232" s="30"/>
      <c r="F232" s="30"/>
      <c r="G232" s="30"/>
      <c r="H232" s="30"/>
      <c r="I232" s="32"/>
      <c r="J232" s="30"/>
      <c r="K232" s="30"/>
      <c r="L232" s="30"/>
      <c r="M232" s="30"/>
      <c r="N232" s="30"/>
      <c r="O232" s="30"/>
      <c r="P232" s="30"/>
      <c r="Q232" s="30"/>
      <c r="R232" s="30"/>
      <c r="S232" s="30"/>
      <c r="T232" s="30"/>
      <c r="U232" s="30"/>
      <c r="V232" s="30"/>
      <c r="W232" s="30"/>
      <c r="X232" s="30"/>
      <c r="Y232" s="30"/>
      <c r="Z232" s="30"/>
      <c r="AA232" s="30"/>
      <c r="AB232" s="30"/>
      <c r="AC232" s="30"/>
    </row>
    <row r="233" ht="39.75" customHeight="1">
      <c r="A233" s="30"/>
      <c r="B233" s="31"/>
      <c r="C233" s="30"/>
      <c r="D233" s="30"/>
      <c r="E233" s="30"/>
      <c r="F233" s="30"/>
      <c r="G233" s="30"/>
      <c r="H233" s="30"/>
      <c r="I233" s="32"/>
      <c r="J233" s="30"/>
      <c r="K233" s="30"/>
      <c r="L233" s="30"/>
      <c r="M233" s="30"/>
      <c r="N233" s="30"/>
      <c r="O233" s="30"/>
      <c r="P233" s="30"/>
      <c r="Q233" s="30"/>
      <c r="R233" s="30"/>
      <c r="S233" s="30"/>
      <c r="T233" s="30"/>
      <c r="U233" s="30"/>
      <c r="V233" s="30"/>
      <c r="W233" s="30"/>
      <c r="X233" s="30"/>
      <c r="Y233" s="30"/>
      <c r="Z233" s="30"/>
      <c r="AA233" s="30"/>
      <c r="AB233" s="30"/>
      <c r="AC233" s="30"/>
    </row>
    <row r="234" ht="39.75" customHeight="1">
      <c r="A234" s="30"/>
      <c r="B234" s="31"/>
      <c r="C234" s="30"/>
      <c r="D234" s="30"/>
      <c r="E234" s="30"/>
      <c r="F234" s="30"/>
      <c r="G234" s="30"/>
      <c r="H234" s="30"/>
      <c r="I234" s="32"/>
      <c r="J234" s="30"/>
      <c r="K234" s="30"/>
      <c r="L234" s="30"/>
      <c r="M234" s="30"/>
      <c r="N234" s="30"/>
      <c r="O234" s="30"/>
      <c r="P234" s="30"/>
      <c r="Q234" s="30"/>
      <c r="R234" s="30"/>
      <c r="S234" s="30"/>
      <c r="T234" s="30"/>
      <c r="U234" s="30"/>
      <c r="V234" s="30"/>
      <c r="W234" s="30"/>
      <c r="X234" s="30"/>
      <c r="Y234" s="30"/>
      <c r="Z234" s="30"/>
      <c r="AA234" s="30"/>
      <c r="AB234" s="30"/>
      <c r="AC234" s="30"/>
    </row>
    <row r="235" ht="39.75" customHeight="1">
      <c r="A235" s="30"/>
      <c r="B235" s="31"/>
      <c r="C235" s="30"/>
      <c r="D235" s="30"/>
      <c r="E235" s="30"/>
      <c r="F235" s="30"/>
      <c r="G235" s="30"/>
      <c r="H235" s="30"/>
      <c r="I235" s="32"/>
      <c r="J235" s="30"/>
      <c r="K235" s="30"/>
      <c r="L235" s="30"/>
      <c r="M235" s="30"/>
      <c r="N235" s="30"/>
      <c r="O235" s="30"/>
      <c r="P235" s="30"/>
      <c r="Q235" s="30"/>
      <c r="R235" s="30"/>
      <c r="S235" s="30"/>
      <c r="T235" s="30"/>
      <c r="U235" s="30"/>
      <c r="V235" s="30"/>
      <c r="W235" s="30"/>
      <c r="X235" s="30"/>
      <c r="Y235" s="30"/>
      <c r="Z235" s="30"/>
      <c r="AA235" s="30"/>
      <c r="AB235" s="30"/>
      <c r="AC235" s="30"/>
    </row>
    <row r="236" ht="39.75" customHeight="1">
      <c r="A236" s="30"/>
      <c r="B236" s="31"/>
      <c r="C236" s="30"/>
      <c r="D236" s="30"/>
      <c r="E236" s="30"/>
      <c r="F236" s="30"/>
      <c r="G236" s="30"/>
      <c r="H236" s="30"/>
      <c r="I236" s="32"/>
      <c r="J236" s="30"/>
      <c r="K236" s="30"/>
      <c r="L236" s="30"/>
      <c r="M236" s="30"/>
      <c r="N236" s="30"/>
      <c r="O236" s="30"/>
      <c r="P236" s="30"/>
      <c r="Q236" s="30"/>
      <c r="R236" s="30"/>
      <c r="S236" s="30"/>
      <c r="T236" s="30"/>
      <c r="U236" s="30"/>
      <c r="V236" s="30"/>
      <c r="W236" s="30"/>
      <c r="X236" s="30"/>
      <c r="Y236" s="30"/>
      <c r="Z236" s="30"/>
      <c r="AA236" s="30"/>
      <c r="AB236" s="30"/>
      <c r="AC236" s="30"/>
    </row>
    <row r="237" ht="39.75" customHeight="1">
      <c r="A237" s="30"/>
      <c r="B237" s="31"/>
      <c r="C237" s="30"/>
      <c r="D237" s="30"/>
      <c r="E237" s="30"/>
      <c r="F237" s="30"/>
      <c r="G237" s="30"/>
      <c r="H237" s="30"/>
      <c r="I237" s="32"/>
      <c r="J237" s="30"/>
      <c r="K237" s="30"/>
      <c r="L237" s="30"/>
      <c r="M237" s="30"/>
      <c r="N237" s="30"/>
      <c r="O237" s="30"/>
      <c r="P237" s="30"/>
      <c r="Q237" s="30"/>
      <c r="R237" s="30"/>
      <c r="S237" s="30"/>
      <c r="T237" s="30"/>
      <c r="U237" s="30"/>
      <c r="V237" s="30"/>
      <c r="W237" s="30"/>
      <c r="X237" s="30"/>
      <c r="Y237" s="30"/>
      <c r="Z237" s="30"/>
      <c r="AA237" s="30"/>
      <c r="AB237" s="30"/>
      <c r="AC237" s="30"/>
    </row>
    <row r="238" ht="39.75" customHeight="1">
      <c r="A238" s="30"/>
      <c r="B238" s="31"/>
      <c r="C238" s="30"/>
      <c r="D238" s="30"/>
      <c r="E238" s="30"/>
      <c r="F238" s="30"/>
      <c r="G238" s="30"/>
      <c r="H238" s="30"/>
      <c r="I238" s="32"/>
      <c r="J238" s="30"/>
      <c r="K238" s="30"/>
      <c r="L238" s="30"/>
      <c r="M238" s="30"/>
      <c r="N238" s="30"/>
      <c r="O238" s="30"/>
      <c r="P238" s="30"/>
      <c r="Q238" s="30"/>
      <c r="R238" s="30"/>
      <c r="S238" s="30"/>
      <c r="T238" s="30"/>
      <c r="U238" s="30"/>
      <c r="V238" s="30"/>
      <c r="W238" s="30"/>
      <c r="X238" s="30"/>
      <c r="Y238" s="30"/>
      <c r="Z238" s="30"/>
      <c r="AA238" s="30"/>
      <c r="AB238" s="30"/>
      <c r="AC238" s="30"/>
    </row>
    <row r="239" ht="39.75" customHeight="1">
      <c r="A239" s="30"/>
      <c r="B239" s="31"/>
      <c r="C239" s="30"/>
      <c r="D239" s="30"/>
      <c r="E239" s="30"/>
      <c r="F239" s="30"/>
      <c r="G239" s="30"/>
      <c r="H239" s="30"/>
      <c r="I239" s="32"/>
      <c r="J239" s="30"/>
      <c r="K239" s="30"/>
      <c r="L239" s="30"/>
      <c r="M239" s="30"/>
      <c r="N239" s="30"/>
      <c r="O239" s="30"/>
      <c r="P239" s="30"/>
      <c r="Q239" s="30"/>
      <c r="R239" s="30"/>
      <c r="S239" s="30"/>
      <c r="T239" s="30"/>
      <c r="U239" s="30"/>
      <c r="V239" s="30"/>
      <c r="W239" s="30"/>
      <c r="X239" s="30"/>
      <c r="Y239" s="30"/>
      <c r="Z239" s="30"/>
      <c r="AA239" s="30"/>
      <c r="AB239" s="30"/>
      <c r="AC239" s="30"/>
    </row>
    <row r="240" ht="39.75" customHeight="1">
      <c r="A240" s="30"/>
      <c r="B240" s="31"/>
      <c r="C240" s="30"/>
      <c r="D240" s="30"/>
      <c r="E240" s="30"/>
      <c r="F240" s="30"/>
      <c r="G240" s="30"/>
      <c r="H240" s="30"/>
      <c r="I240" s="32"/>
      <c r="J240" s="30"/>
      <c r="K240" s="30"/>
      <c r="L240" s="30"/>
      <c r="M240" s="30"/>
      <c r="N240" s="30"/>
      <c r="O240" s="30"/>
      <c r="P240" s="30"/>
      <c r="Q240" s="30"/>
      <c r="R240" s="30"/>
      <c r="S240" s="30"/>
      <c r="T240" s="30"/>
      <c r="U240" s="30"/>
      <c r="V240" s="30"/>
      <c r="W240" s="30"/>
      <c r="X240" s="30"/>
      <c r="Y240" s="30"/>
      <c r="Z240" s="30"/>
      <c r="AA240" s="30"/>
      <c r="AB240" s="30"/>
      <c r="AC240" s="30"/>
    </row>
    <row r="241" ht="39.75" customHeight="1">
      <c r="A241" s="30"/>
      <c r="B241" s="31"/>
      <c r="C241" s="30"/>
      <c r="D241" s="30"/>
      <c r="E241" s="30"/>
      <c r="F241" s="30"/>
      <c r="G241" s="30"/>
      <c r="H241" s="30"/>
      <c r="I241" s="32"/>
      <c r="J241" s="30"/>
      <c r="K241" s="30"/>
      <c r="L241" s="30"/>
      <c r="M241" s="30"/>
      <c r="N241" s="30"/>
      <c r="O241" s="30"/>
      <c r="P241" s="30"/>
      <c r="Q241" s="30"/>
      <c r="R241" s="30"/>
      <c r="S241" s="30"/>
      <c r="T241" s="30"/>
      <c r="U241" s="30"/>
      <c r="V241" s="30"/>
      <c r="W241" s="30"/>
      <c r="X241" s="30"/>
      <c r="Y241" s="30"/>
      <c r="Z241" s="30"/>
      <c r="AA241" s="30"/>
      <c r="AB241" s="30"/>
      <c r="AC241" s="30"/>
    </row>
    <row r="242" ht="39.75" customHeight="1">
      <c r="A242" s="30"/>
      <c r="B242" s="31"/>
      <c r="C242" s="30"/>
      <c r="D242" s="30"/>
      <c r="E242" s="30"/>
      <c r="F242" s="30"/>
      <c r="G242" s="30"/>
      <c r="H242" s="30"/>
      <c r="I242" s="32"/>
      <c r="J242" s="30"/>
      <c r="K242" s="30"/>
      <c r="L242" s="30"/>
      <c r="M242" s="30"/>
      <c r="N242" s="30"/>
      <c r="O242" s="30"/>
      <c r="P242" s="30"/>
      <c r="Q242" s="30"/>
      <c r="R242" s="30"/>
      <c r="S242" s="30"/>
      <c r="T242" s="30"/>
      <c r="U242" s="30"/>
      <c r="V242" s="30"/>
      <c r="W242" s="30"/>
      <c r="X242" s="30"/>
      <c r="Y242" s="30"/>
      <c r="Z242" s="30"/>
      <c r="AA242" s="30"/>
      <c r="AB242" s="30"/>
      <c r="AC242" s="30"/>
    </row>
    <row r="243" ht="39.75" customHeight="1">
      <c r="A243" s="30"/>
      <c r="B243" s="31"/>
      <c r="C243" s="30"/>
      <c r="D243" s="30"/>
      <c r="E243" s="30"/>
      <c r="F243" s="30"/>
      <c r="G243" s="30"/>
      <c r="H243" s="30"/>
      <c r="I243" s="32"/>
      <c r="J243" s="30"/>
      <c r="K243" s="30"/>
      <c r="L243" s="30"/>
      <c r="M243" s="30"/>
      <c r="N243" s="30"/>
      <c r="O243" s="30"/>
      <c r="P243" s="30"/>
      <c r="Q243" s="30"/>
      <c r="R243" s="30"/>
      <c r="S243" s="30"/>
      <c r="T243" s="30"/>
      <c r="U243" s="30"/>
      <c r="V243" s="30"/>
      <c r="W243" s="30"/>
      <c r="X243" s="30"/>
      <c r="Y243" s="30"/>
      <c r="Z243" s="30"/>
      <c r="AA243" s="30"/>
      <c r="AB243" s="30"/>
      <c r="AC243" s="30"/>
    </row>
    <row r="244" ht="39.75" customHeight="1">
      <c r="A244" s="30"/>
      <c r="B244" s="31"/>
      <c r="C244" s="30"/>
      <c r="D244" s="30"/>
      <c r="E244" s="30"/>
      <c r="F244" s="30"/>
      <c r="G244" s="30"/>
      <c r="H244" s="30"/>
      <c r="I244" s="32"/>
      <c r="J244" s="30"/>
      <c r="K244" s="30"/>
      <c r="L244" s="30"/>
      <c r="M244" s="30"/>
      <c r="N244" s="30"/>
      <c r="O244" s="30"/>
      <c r="P244" s="30"/>
      <c r="Q244" s="30"/>
      <c r="R244" s="30"/>
      <c r="S244" s="30"/>
      <c r="T244" s="30"/>
      <c r="U244" s="30"/>
      <c r="V244" s="30"/>
      <c r="W244" s="30"/>
      <c r="X244" s="30"/>
      <c r="Y244" s="30"/>
      <c r="Z244" s="30"/>
      <c r="AA244" s="30"/>
      <c r="AB244" s="30"/>
      <c r="AC244" s="30"/>
    </row>
    <row r="245" ht="39.75" customHeight="1">
      <c r="A245" s="30"/>
      <c r="B245" s="31"/>
      <c r="C245" s="30"/>
      <c r="D245" s="30"/>
      <c r="E245" s="30"/>
      <c r="F245" s="30"/>
      <c r="G245" s="30"/>
      <c r="H245" s="30"/>
      <c r="I245" s="32"/>
      <c r="J245" s="30"/>
      <c r="K245" s="30"/>
      <c r="L245" s="30"/>
      <c r="M245" s="30"/>
      <c r="N245" s="30"/>
      <c r="O245" s="30"/>
      <c r="P245" s="30"/>
      <c r="Q245" s="30"/>
      <c r="R245" s="30"/>
      <c r="S245" s="30"/>
      <c r="T245" s="30"/>
      <c r="U245" s="30"/>
      <c r="V245" s="30"/>
      <c r="W245" s="30"/>
      <c r="X245" s="30"/>
      <c r="Y245" s="30"/>
      <c r="Z245" s="30"/>
      <c r="AA245" s="30"/>
      <c r="AB245" s="30"/>
      <c r="AC245" s="30"/>
    </row>
    <row r="246" ht="39.75" customHeight="1">
      <c r="A246" s="30"/>
      <c r="B246" s="31"/>
      <c r="C246" s="30"/>
      <c r="D246" s="30"/>
      <c r="E246" s="30"/>
      <c r="F246" s="30"/>
      <c r="G246" s="30"/>
      <c r="H246" s="30"/>
      <c r="I246" s="32"/>
      <c r="J246" s="30"/>
      <c r="K246" s="30"/>
      <c r="L246" s="30"/>
      <c r="M246" s="30"/>
      <c r="N246" s="30"/>
      <c r="O246" s="30"/>
      <c r="P246" s="30"/>
      <c r="Q246" s="30"/>
      <c r="R246" s="30"/>
      <c r="S246" s="30"/>
      <c r="T246" s="30"/>
      <c r="U246" s="30"/>
      <c r="V246" s="30"/>
      <c r="W246" s="30"/>
      <c r="X246" s="30"/>
      <c r="Y246" s="30"/>
      <c r="Z246" s="30"/>
      <c r="AA246" s="30"/>
      <c r="AB246" s="30"/>
      <c r="AC246" s="30"/>
    </row>
    <row r="247" ht="39.75" customHeight="1">
      <c r="A247" s="30"/>
      <c r="B247" s="31"/>
      <c r="C247" s="30"/>
      <c r="D247" s="30"/>
      <c r="E247" s="30"/>
      <c r="F247" s="30"/>
      <c r="G247" s="30"/>
      <c r="H247" s="30"/>
      <c r="I247" s="32"/>
      <c r="J247" s="30"/>
      <c r="K247" s="30"/>
      <c r="L247" s="30"/>
      <c r="M247" s="30"/>
      <c r="N247" s="30"/>
      <c r="O247" s="30"/>
      <c r="P247" s="30"/>
      <c r="Q247" s="30"/>
      <c r="R247" s="30"/>
      <c r="S247" s="30"/>
      <c r="T247" s="30"/>
      <c r="U247" s="30"/>
      <c r="V247" s="30"/>
      <c r="W247" s="30"/>
      <c r="X247" s="30"/>
      <c r="Y247" s="30"/>
      <c r="Z247" s="30"/>
      <c r="AA247" s="30"/>
      <c r="AB247" s="30"/>
      <c r="AC247" s="30"/>
    </row>
    <row r="248" ht="39.75" customHeight="1">
      <c r="A248" s="30"/>
      <c r="B248" s="31"/>
      <c r="C248" s="30"/>
      <c r="D248" s="30"/>
      <c r="E248" s="30"/>
      <c r="F248" s="30"/>
      <c r="G248" s="30"/>
      <c r="H248" s="30"/>
      <c r="I248" s="32"/>
      <c r="J248" s="30"/>
      <c r="K248" s="30"/>
      <c r="L248" s="30"/>
      <c r="M248" s="30"/>
      <c r="N248" s="30"/>
      <c r="O248" s="30"/>
      <c r="P248" s="30"/>
      <c r="Q248" s="30"/>
      <c r="R248" s="30"/>
      <c r="S248" s="30"/>
      <c r="T248" s="30"/>
      <c r="U248" s="30"/>
      <c r="V248" s="30"/>
      <c r="W248" s="30"/>
      <c r="X248" s="30"/>
      <c r="Y248" s="30"/>
      <c r="Z248" s="30"/>
      <c r="AA248" s="30"/>
      <c r="AB248" s="30"/>
      <c r="AC248" s="30"/>
    </row>
    <row r="249" ht="39.75" customHeight="1">
      <c r="A249" s="30"/>
      <c r="B249" s="31"/>
      <c r="C249" s="30"/>
      <c r="D249" s="30"/>
      <c r="E249" s="30"/>
      <c r="F249" s="30"/>
      <c r="G249" s="30"/>
      <c r="H249" s="30"/>
      <c r="I249" s="32"/>
      <c r="J249" s="30"/>
      <c r="K249" s="30"/>
      <c r="L249" s="30"/>
      <c r="M249" s="30"/>
      <c r="N249" s="30"/>
      <c r="O249" s="30"/>
      <c r="P249" s="30"/>
      <c r="Q249" s="30"/>
      <c r="R249" s="30"/>
      <c r="S249" s="30"/>
      <c r="T249" s="30"/>
      <c r="U249" s="30"/>
      <c r="V249" s="30"/>
      <c r="W249" s="30"/>
      <c r="X249" s="30"/>
      <c r="Y249" s="30"/>
      <c r="Z249" s="30"/>
      <c r="AA249" s="30"/>
      <c r="AB249" s="30"/>
      <c r="AC249" s="30"/>
    </row>
    <row r="250" ht="39.75" customHeight="1">
      <c r="A250" s="30"/>
      <c r="B250" s="31"/>
      <c r="C250" s="30"/>
      <c r="D250" s="30"/>
      <c r="E250" s="30"/>
      <c r="F250" s="30"/>
      <c r="G250" s="30"/>
      <c r="H250" s="30"/>
      <c r="I250" s="32"/>
      <c r="J250" s="30"/>
      <c r="K250" s="30"/>
      <c r="L250" s="30"/>
      <c r="M250" s="30"/>
      <c r="N250" s="30"/>
      <c r="O250" s="30"/>
      <c r="P250" s="30"/>
      <c r="Q250" s="30"/>
      <c r="R250" s="30"/>
      <c r="S250" s="30"/>
      <c r="T250" s="30"/>
      <c r="U250" s="30"/>
      <c r="V250" s="30"/>
      <c r="W250" s="30"/>
      <c r="X250" s="30"/>
      <c r="Y250" s="30"/>
      <c r="Z250" s="30"/>
      <c r="AA250" s="30"/>
      <c r="AB250" s="30"/>
      <c r="AC250" s="30"/>
    </row>
    <row r="251" ht="39.75" customHeight="1">
      <c r="A251" s="30"/>
      <c r="B251" s="31"/>
      <c r="C251" s="30"/>
      <c r="D251" s="30"/>
      <c r="E251" s="30"/>
      <c r="F251" s="30"/>
      <c r="G251" s="30"/>
      <c r="H251" s="30"/>
      <c r="I251" s="32"/>
      <c r="J251" s="30"/>
      <c r="K251" s="30"/>
      <c r="L251" s="30"/>
      <c r="M251" s="30"/>
      <c r="N251" s="30"/>
      <c r="O251" s="30"/>
      <c r="P251" s="30"/>
      <c r="Q251" s="30"/>
      <c r="R251" s="30"/>
      <c r="S251" s="30"/>
      <c r="T251" s="30"/>
      <c r="U251" s="30"/>
      <c r="V251" s="30"/>
      <c r="W251" s="30"/>
      <c r="X251" s="30"/>
      <c r="Y251" s="30"/>
      <c r="Z251" s="30"/>
      <c r="AA251" s="30"/>
      <c r="AB251" s="30"/>
      <c r="AC251" s="30"/>
    </row>
    <row r="252" ht="39.75" customHeight="1">
      <c r="A252" s="30"/>
      <c r="B252" s="31"/>
      <c r="C252" s="30"/>
      <c r="D252" s="30"/>
      <c r="E252" s="30"/>
      <c r="F252" s="30"/>
      <c r="G252" s="30"/>
      <c r="H252" s="30"/>
      <c r="I252" s="32"/>
      <c r="J252" s="30"/>
      <c r="K252" s="30"/>
      <c r="L252" s="30"/>
      <c r="M252" s="30"/>
      <c r="N252" s="30"/>
      <c r="O252" s="30"/>
      <c r="P252" s="30"/>
      <c r="Q252" s="30"/>
      <c r="R252" s="30"/>
      <c r="S252" s="30"/>
      <c r="T252" s="30"/>
      <c r="U252" s="30"/>
      <c r="V252" s="30"/>
      <c r="W252" s="30"/>
      <c r="X252" s="30"/>
      <c r="Y252" s="30"/>
      <c r="Z252" s="30"/>
      <c r="AA252" s="30"/>
      <c r="AB252" s="30"/>
      <c r="AC252" s="30"/>
    </row>
    <row r="253" ht="39.75" customHeight="1">
      <c r="A253" s="30"/>
      <c r="B253" s="31"/>
      <c r="C253" s="30"/>
      <c r="D253" s="30"/>
      <c r="E253" s="30"/>
      <c r="F253" s="30"/>
      <c r="G253" s="30"/>
      <c r="H253" s="30"/>
      <c r="I253" s="32"/>
      <c r="J253" s="30"/>
      <c r="K253" s="30"/>
      <c r="L253" s="30"/>
      <c r="M253" s="30"/>
      <c r="N253" s="30"/>
      <c r="O253" s="30"/>
      <c r="P253" s="30"/>
      <c r="Q253" s="30"/>
      <c r="R253" s="30"/>
      <c r="S253" s="30"/>
      <c r="T253" s="30"/>
      <c r="U253" s="30"/>
      <c r="V253" s="30"/>
      <c r="W253" s="30"/>
      <c r="X253" s="30"/>
      <c r="Y253" s="30"/>
      <c r="Z253" s="30"/>
      <c r="AA253" s="30"/>
      <c r="AB253" s="30"/>
      <c r="AC253" s="30"/>
    </row>
    <row r="254" ht="39.75" customHeight="1">
      <c r="A254" s="30"/>
      <c r="B254" s="31"/>
      <c r="C254" s="30"/>
      <c r="D254" s="30"/>
      <c r="E254" s="30"/>
      <c r="F254" s="30"/>
      <c r="G254" s="30"/>
      <c r="H254" s="30"/>
      <c r="I254" s="32"/>
      <c r="J254" s="30"/>
      <c r="K254" s="30"/>
      <c r="L254" s="30"/>
      <c r="M254" s="30"/>
      <c r="N254" s="30"/>
      <c r="O254" s="30"/>
      <c r="P254" s="30"/>
      <c r="Q254" s="30"/>
      <c r="R254" s="30"/>
      <c r="S254" s="30"/>
      <c r="T254" s="30"/>
      <c r="U254" s="30"/>
      <c r="V254" s="30"/>
      <c r="W254" s="30"/>
      <c r="X254" s="30"/>
      <c r="Y254" s="30"/>
      <c r="Z254" s="30"/>
      <c r="AA254" s="30"/>
      <c r="AB254" s="30"/>
      <c r="AC254" s="30"/>
    </row>
    <row r="255" ht="39.75" customHeight="1">
      <c r="A255" s="30"/>
      <c r="B255" s="31"/>
      <c r="C255" s="30"/>
      <c r="D255" s="30"/>
      <c r="E255" s="30"/>
      <c r="F255" s="30"/>
      <c r="G255" s="30"/>
      <c r="H255" s="30"/>
      <c r="I255" s="32"/>
      <c r="J255" s="30"/>
      <c r="K255" s="30"/>
      <c r="L255" s="30"/>
      <c r="M255" s="30"/>
      <c r="N255" s="30"/>
      <c r="O255" s="30"/>
      <c r="P255" s="30"/>
      <c r="Q255" s="30"/>
      <c r="R255" s="30"/>
      <c r="S255" s="30"/>
      <c r="T255" s="30"/>
      <c r="U255" s="30"/>
      <c r="V255" s="30"/>
      <c r="W255" s="30"/>
      <c r="X255" s="30"/>
      <c r="Y255" s="30"/>
      <c r="Z255" s="30"/>
      <c r="AA255" s="30"/>
      <c r="AB255" s="30"/>
      <c r="AC255" s="30"/>
    </row>
    <row r="256" ht="39.75" customHeight="1">
      <c r="A256" s="30"/>
      <c r="B256" s="31"/>
      <c r="C256" s="30"/>
      <c r="D256" s="30"/>
      <c r="E256" s="30"/>
      <c r="F256" s="30"/>
      <c r="G256" s="30"/>
      <c r="H256" s="30"/>
      <c r="I256" s="32"/>
      <c r="J256" s="30"/>
      <c r="K256" s="30"/>
      <c r="L256" s="30"/>
      <c r="M256" s="30"/>
      <c r="N256" s="30"/>
      <c r="O256" s="30"/>
      <c r="P256" s="30"/>
      <c r="Q256" s="30"/>
      <c r="R256" s="30"/>
      <c r="S256" s="30"/>
      <c r="T256" s="30"/>
      <c r="U256" s="30"/>
      <c r="V256" s="30"/>
      <c r="W256" s="30"/>
      <c r="X256" s="30"/>
      <c r="Y256" s="30"/>
      <c r="Z256" s="30"/>
      <c r="AA256" s="30"/>
      <c r="AB256" s="30"/>
      <c r="AC256" s="30"/>
    </row>
    <row r="257" ht="39.75" customHeight="1">
      <c r="A257" s="30"/>
      <c r="B257" s="31"/>
      <c r="C257" s="30"/>
      <c r="D257" s="30"/>
      <c r="E257" s="30"/>
      <c r="F257" s="30"/>
      <c r="G257" s="30"/>
      <c r="H257" s="30"/>
      <c r="I257" s="32"/>
      <c r="J257" s="30"/>
      <c r="K257" s="30"/>
      <c r="L257" s="30"/>
      <c r="M257" s="30"/>
      <c r="N257" s="30"/>
      <c r="O257" s="30"/>
      <c r="P257" s="30"/>
      <c r="Q257" s="30"/>
      <c r="R257" s="30"/>
      <c r="S257" s="30"/>
      <c r="T257" s="30"/>
      <c r="U257" s="30"/>
      <c r="V257" s="30"/>
      <c r="W257" s="30"/>
      <c r="X257" s="30"/>
      <c r="Y257" s="30"/>
      <c r="Z257" s="30"/>
      <c r="AA257" s="30"/>
      <c r="AB257" s="30"/>
      <c r="AC257" s="30"/>
    </row>
    <row r="258" ht="39.75" customHeight="1">
      <c r="A258" s="30"/>
      <c r="B258" s="31"/>
      <c r="C258" s="30"/>
      <c r="D258" s="30"/>
      <c r="E258" s="30"/>
      <c r="F258" s="30"/>
      <c r="G258" s="30"/>
      <c r="H258" s="30"/>
      <c r="I258" s="32"/>
      <c r="J258" s="30"/>
      <c r="K258" s="30"/>
      <c r="L258" s="30"/>
      <c r="M258" s="30"/>
      <c r="N258" s="30"/>
      <c r="O258" s="30"/>
      <c r="P258" s="30"/>
      <c r="Q258" s="30"/>
      <c r="R258" s="30"/>
      <c r="S258" s="30"/>
      <c r="T258" s="30"/>
      <c r="U258" s="30"/>
      <c r="V258" s="30"/>
      <c r="W258" s="30"/>
      <c r="X258" s="30"/>
      <c r="Y258" s="30"/>
      <c r="Z258" s="30"/>
      <c r="AA258" s="30"/>
      <c r="AB258" s="30"/>
      <c r="AC258" s="30"/>
    </row>
    <row r="259" ht="39.75" customHeight="1">
      <c r="A259" s="30"/>
      <c r="B259" s="31"/>
      <c r="C259" s="30"/>
      <c r="D259" s="30"/>
      <c r="E259" s="30"/>
      <c r="F259" s="30"/>
      <c r="G259" s="30"/>
      <c r="H259" s="30"/>
      <c r="I259" s="32"/>
      <c r="J259" s="30"/>
      <c r="K259" s="30"/>
      <c r="L259" s="30"/>
      <c r="M259" s="30"/>
      <c r="N259" s="30"/>
      <c r="O259" s="30"/>
      <c r="P259" s="30"/>
      <c r="Q259" s="30"/>
      <c r="R259" s="30"/>
      <c r="S259" s="30"/>
      <c r="T259" s="30"/>
      <c r="U259" s="30"/>
      <c r="V259" s="30"/>
      <c r="W259" s="30"/>
      <c r="X259" s="30"/>
      <c r="Y259" s="30"/>
      <c r="Z259" s="30"/>
      <c r="AA259" s="30"/>
      <c r="AB259" s="30"/>
      <c r="AC259" s="30"/>
    </row>
    <row r="260" ht="39.75" customHeight="1">
      <c r="A260" s="30"/>
      <c r="B260" s="31"/>
      <c r="C260" s="30"/>
      <c r="D260" s="30"/>
      <c r="E260" s="30"/>
      <c r="F260" s="30"/>
      <c r="G260" s="30"/>
      <c r="H260" s="30"/>
      <c r="I260" s="32"/>
      <c r="J260" s="30"/>
      <c r="K260" s="30"/>
      <c r="L260" s="30"/>
      <c r="M260" s="30"/>
      <c r="N260" s="30"/>
      <c r="O260" s="30"/>
      <c r="P260" s="30"/>
      <c r="Q260" s="30"/>
      <c r="R260" s="30"/>
      <c r="S260" s="30"/>
      <c r="T260" s="30"/>
      <c r="U260" s="30"/>
      <c r="V260" s="30"/>
      <c r="W260" s="30"/>
      <c r="X260" s="30"/>
      <c r="Y260" s="30"/>
      <c r="Z260" s="30"/>
      <c r="AA260" s="30"/>
      <c r="AB260" s="30"/>
      <c r="AC260" s="30"/>
    </row>
    <row r="261" ht="39.75" customHeight="1">
      <c r="A261" s="30"/>
      <c r="B261" s="31"/>
      <c r="C261" s="30"/>
      <c r="D261" s="30"/>
      <c r="E261" s="30"/>
      <c r="F261" s="30"/>
      <c r="G261" s="30"/>
      <c r="H261" s="30"/>
      <c r="I261" s="32"/>
      <c r="J261" s="30"/>
      <c r="K261" s="30"/>
      <c r="L261" s="30"/>
      <c r="M261" s="30"/>
      <c r="N261" s="30"/>
      <c r="O261" s="30"/>
      <c r="P261" s="30"/>
      <c r="Q261" s="30"/>
      <c r="R261" s="30"/>
      <c r="S261" s="30"/>
      <c r="T261" s="30"/>
      <c r="U261" s="30"/>
      <c r="V261" s="30"/>
      <c r="W261" s="30"/>
      <c r="X261" s="30"/>
      <c r="Y261" s="30"/>
      <c r="Z261" s="30"/>
      <c r="AA261" s="30"/>
      <c r="AB261" s="30"/>
      <c r="AC261" s="30"/>
    </row>
    <row r="262" ht="39.75" customHeight="1">
      <c r="A262" s="30"/>
      <c r="B262" s="31"/>
      <c r="C262" s="30"/>
      <c r="D262" s="30"/>
      <c r="E262" s="30"/>
      <c r="F262" s="30"/>
      <c r="G262" s="30"/>
      <c r="H262" s="30"/>
      <c r="I262" s="32"/>
      <c r="J262" s="30"/>
      <c r="K262" s="30"/>
      <c r="L262" s="30"/>
      <c r="M262" s="30"/>
      <c r="N262" s="30"/>
      <c r="O262" s="30"/>
      <c r="P262" s="30"/>
      <c r="Q262" s="30"/>
      <c r="R262" s="30"/>
      <c r="S262" s="30"/>
      <c r="T262" s="30"/>
      <c r="U262" s="30"/>
      <c r="V262" s="30"/>
      <c r="W262" s="30"/>
      <c r="X262" s="30"/>
      <c r="Y262" s="30"/>
      <c r="Z262" s="30"/>
      <c r="AA262" s="30"/>
      <c r="AB262" s="30"/>
      <c r="AC262" s="30"/>
    </row>
    <row r="263" ht="39.75" customHeight="1">
      <c r="A263" s="30"/>
      <c r="B263" s="31"/>
      <c r="C263" s="30"/>
      <c r="D263" s="30"/>
      <c r="E263" s="30"/>
      <c r="F263" s="30"/>
      <c r="G263" s="30"/>
      <c r="H263" s="30"/>
      <c r="I263" s="32"/>
      <c r="J263" s="30"/>
      <c r="K263" s="30"/>
      <c r="L263" s="30"/>
      <c r="M263" s="30"/>
      <c r="N263" s="30"/>
      <c r="O263" s="30"/>
      <c r="P263" s="30"/>
      <c r="Q263" s="30"/>
      <c r="R263" s="30"/>
      <c r="S263" s="30"/>
      <c r="T263" s="30"/>
      <c r="U263" s="30"/>
      <c r="V263" s="30"/>
      <c r="W263" s="30"/>
      <c r="X263" s="30"/>
      <c r="Y263" s="30"/>
      <c r="Z263" s="30"/>
      <c r="AA263" s="30"/>
      <c r="AB263" s="30"/>
      <c r="AC263" s="30"/>
    </row>
    <row r="264" ht="39.75" customHeight="1">
      <c r="A264" s="30"/>
      <c r="B264" s="31"/>
      <c r="C264" s="30"/>
      <c r="D264" s="30"/>
      <c r="E264" s="30"/>
      <c r="F264" s="30"/>
      <c r="G264" s="30"/>
      <c r="H264" s="30"/>
      <c r="I264" s="32"/>
      <c r="J264" s="30"/>
      <c r="K264" s="30"/>
      <c r="L264" s="30"/>
      <c r="M264" s="30"/>
      <c r="N264" s="30"/>
      <c r="O264" s="30"/>
      <c r="P264" s="30"/>
      <c r="Q264" s="30"/>
      <c r="R264" s="30"/>
      <c r="S264" s="30"/>
      <c r="T264" s="30"/>
      <c r="U264" s="30"/>
      <c r="V264" s="30"/>
      <c r="W264" s="30"/>
      <c r="X264" s="30"/>
      <c r="Y264" s="30"/>
      <c r="Z264" s="30"/>
      <c r="AA264" s="30"/>
      <c r="AB264" s="30"/>
      <c r="AC264" s="30"/>
    </row>
    <row r="265" ht="39.75" customHeight="1">
      <c r="A265" s="30"/>
      <c r="B265" s="31"/>
      <c r="C265" s="30"/>
      <c r="D265" s="30"/>
      <c r="E265" s="30"/>
      <c r="F265" s="30"/>
      <c r="G265" s="30"/>
      <c r="H265" s="30"/>
      <c r="I265" s="32"/>
      <c r="J265" s="30"/>
      <c r="K265" s="30"/>
      <c r="L265" s="30"/>
      <c r="M265" s="30"/>
      <c r="N265" s="30"/>
      <c r="O265" s="30"/>
      <c r="P265" s="30"/>
      <c r="Q265" s="30"/>
      <c r="R265" s="30"/>
      <c r="S265" s="30"/>
      <c r="T265" s="30"/>
      <c r="U265" s="30"/>
      <c r="V265" s="30"/>
      <c r="W265" s="30"/>
      <c r="X265" s="30"/>
      <c r="Y265" s="30"/>
      <c r="Z265" s="30"/>
      <c r="AA265" s="30"/>
      <c r="AB265" s="30"/>
      <c r="AC265" s="30"/>
    </row>
    <row r="266" ht="39.75" customHeight="1">
      <c r="A266" s="30"/>
      <c r="B266" s="31"/>
      <c r="C266" s="30"/>
      <c r="D266" s="30"/>
      <c r="E266" s="30"/>
      <c r="F266" s="30"/>
      <c r="G266" s="30"/>
      <c r="H266" s="30"/>
      <c r="I266" s="32"/>
      <c r="J266" s="30"/>
      <c r="K266" s="30"/>
      <c r="L266" s="30"/>
      <c r="M266" s="30"/>
      <c r="N266" s="30"/>
      <c r="O266" s="30"/>
      <c r="P266" s="30"/>
      <c r="Q266" s="30"/>
      <c r="R266" s="30"/>
      <c r="S266" s="30"/>
      <c r="T266" s="30"/>
      <c r="U266" s="30"/>
      <c r="V266" s="30"/>
      <c r="W266" s="30"/>
      <c r="X266" s="30"/>
      <c r="Y266" s="30"/>
      <c r="Z266" s="30"/>
      <c r="AA266" s="30"/>
      <c r="AB266" s="30"/>
      <c r="AC266" s="30"/>
    </row>
    <row r="267" ht="39.75" customHeight="1">
      <c r="A267" s="30"/>
      <c r="B267" s="31"/>
      <c r="C267" s="30"/>
      <c r="D267" s="30"/>
      <c r="E267" s="30"/>
      <c r="F267" s="30"/>
      <c r="G267" s="30"/>
      <c r="H267" s="30"/>
      <c r="I267" s="32"/>
      <c r="J267" s="30"/>
      <c r="K267" s="30"/>
      <c r="L267" s="30"/>
      <c r="M267" s="30"/>
      <c r="N267" s="30"/>
      <c r="O267" s="30"/>
      <c r="P267" s="30"/>
      <c r="Q267" s="30"/>
      <c r="R267" s="30"/>
      <c r="S267" s="30"/>
      <c r="T267" s="30"/>
      <c r="U267" s="30"/>
      <c r="V267" s="30"/>
      <c r="W267" s="30"/>
      <c r="X267" s="30"/>
      <c r="Y267" s="30"/>
      <c r="Z267" s="30"/>
      <c r="AA267" s="30"/>
      <c r="AB267" s="30"/>
      <c r="AC267" s="30"/>
    </row>
    <row r="268" ht="39.75" customHeight="1">
      <c r="A268" s="30"/>
      <c r="B268" s="31"/>
      <c r="C268" s="30"/>
      <c r="D268" s="30"/>
      <c r="E268" s="30"/>
      <c r="F268" s="30"/>
      <c r="G268" s="30"/>
      <c r="H268" s="30"/>
      <c r="I268" s="32"/>
      <c r="J268" s="30"/>
      <c r="K268" s="30"/>
      <c r="L268" s="30"/>
      <c r="M268" s="30"/>
      <c r="N268" s="30"/>
      <c r="O268" s="30"/>
      <c r="P268" s="30"/>
      <c r="Q268" s="30"/>
      <c r="R268" s="30"/>
      <c r="S268" s="30"/>
      <c r="T268" s="30"/>
      <c r="U268" s="30"/>
      <c r="V268" s="30"/>
      <c r="W268" s="30"/>
      <c r="X268" s="30"/>
      <c r="Y268" s="30"/>
      <c r="Z268" s="30"/>
      <c r="AA268" s="30"/>
      <c r="AB268" s="30"/>
      <c r="AC268" s="30"/>
    </row>
    <row r="269" ht="39.75" customHeight="1">
      <c r="A269" s="30"/>
      <c r="B269" s="31"/>
      <c r="C269" s="30"/>
      <c r="D269" s="30"/>
      <c r="E269" s="30"/>
      <c r="F269" s="30"/>
      <c r="G269" s="30"/>
      <c r="H269" s="30"/>
      <c r="I269" s="32"/>
      <c r="J269" s="30"/>
      <c r="K269" s="30"/>
      <c r="L269" s="30"/>
      <c r="M269" s="30"/>
      <c r="N269" s="30"/>
      <c r="O269" s="30"/>
      <c r="P269" s="30"/>
      <c r="Q269" s="30"/>
      <c r="R269" s="30"/>
      <c r="S269" s="30"/>
      <c r="T269" s="30"/>
      <c r="U269" s="30"/>
      <c r="V269" s="30"/>
      <c r="W269" s="30"/>
      <c r="X269" s="30"/>
      <c r="Y269" s="30"/>
      <c r="Z269" s="30"/>
      <c r="AA269" s="30"/>
      <c r="AB269" s="30"/>
      <c r="AC269" s="30"/>
    </row>
    <row r="270" ht="39.75" customHeight="1">
      <c r="A270" s="30"/>
      <c r="B270" s="31"/>
      <c r="C270" s="30"/>
      <c r="D270" s="30"/>
      <c r="E270" s="30"/>
      <c r="F270" s="30"/>
      <c r="G270" s="30"/>
      <c r="H270" s="30"/>
      <c r="I270" s="32"/>
      <c r="J270" s="30"/>
      <c r="K270" s="30"/>
      <c r="L270" s="30"/>
      <c r="M270" s="30"/>
      <c r="N270" s="30"/>
      <c r="O270" s="30"/>
      <c r="P270" s="30"/>
      <c r="Q270" s="30"/>
      <c r="R270" s="30"/>
      <c r="S270" s="30"/>
      <c r="T270" s="30"/>
      <c r="U270" s="30"/>
      <c r="V270" s="30"/>
      <c r="W270" s="30"/>
      <c r="X270" s="30"/>
      <c r="Y270" s="30"/>
      <c r="Z270" s="30"/>
      <c r="AA270" s="30"/>
      <c r="AB270" s="30"/>
      <c r="AC270" s="30"/>
    </row>
    <row r="271" ht="39.75" customHeight="1">
      <c r="A271" s="30"/>
      <c r="B271" s="31"/>
      <c r="C271" s="30"/>
      <c r="D271" s="30"/>
      <c r="E271" s="30"/>
      <c r="F271" s="30"/>
      <c r="G271" s="30"/>
      <c r="H271" s="30"/>
      <c r="I271" s="32"/>
      <c r="J271" s="30"/>
      <c r="K271" s="30"/>
      <c r="L271" s="30"/>
      <c r="M271" s="30"/>
      <c r="N271" s="30"/>
      <c r="O271" s="30"/>
      <c r="P271" s="30"/>
      <c r="Q271" s="30"/>
      <c r="R271" s="30"/>
      <c r="S271" s="30"/>
      <c r="T271" s="30"/>
      <c r="U271" s="30"/>
      <c r="V271" s="30"/>
      <c r="W271" s="30"/>
      <c r="X271" s="30"/>
      <c r="Y271" s="30"/>
      <c r="Z271" s="30"/>
      <c r="AA271" s="30"/>
      <c r="AB271" s="30"/>
      <c r="AC271" s="30"/>
    </row>
    <row r="272" ht="39.75" customHeight="1">
      <c r="A272" s="30"/>
      <c r="B272" s="31"/>
      <c r="C272" s="30"/>
      <c r="D272" s="30"/>
      <c r="E272" s="30"/>
      <c r="F272" s="30"/>
      <c r="G272" s="30"/>
      <c r="H272" s="30"/>
      <c r="I272" s="32"/>
      <c r="J272" s="30"/>
      <c r="K272" s="30"/>
      <c r="L272" s="30"/>
      <c r="M272" s="30"/>
      <c r="N272" s="30"/>
      <c r="O272" s="30"/>
      <c r="P272" s="30"/>
      <c r="Q272" s="30"/>
      <c r="R272" s="30"/>
      <c r="S272" s="30"/>
      <c r="T272" s="30"/>
      <c r="U272" s="30"/>
      <c r="V272" s="30"/>
      <c r="W272" s="30"/>
      <c r="X272" s="30"/>
      <c r="Y272" s="30"/>
      <c r="Z272" s="30"/>
      <c r="AA272" s="30"/>
      <c r="AB272" s="30"/>
      <c r="AC272" s="30"/>
    </row>
    <row r="273" ht="39.75" customHeight="1">
      <c r="A273" s="30"/>
      <c r="B273" s="31"/>
      <c r="C273" s="30"/>
      <c r="D273" s="30"/>
      <c r="E273" s="30"/>
      <c r="F273" s="30"/>
      <c r="G273" s="30"/>
      <c r="H273" s="30"/>
      <c r="I273" s="32"/>
      <c r="J273" s="30"/>
      <c r="K273" s="30"/>
      <c r="L273" s="30"/>
      <c r="M273" s="30"/>
      <c r="N273" s="30"/>
      <c r="O273" s="30"/>
      <c r="P273" s="30"/>
      <c r="Q273" s="30"/>
      <c r="R273" s="30"/>
      <c r="S273" s="30"/>
      <c r="T273" s="30"/>
      <c r="U273" s="30"/>
      <c r="V273" s="30"/>
      <c r="W273" s="30"/>
      <c r="X273" s="30"/>
      <c r="Y273" s="30"/>
      <c r="Z273" s="30"/>
      <c r="AA273" s="30"/>
      <c r="AB273" s="30"/>
      <c r="AC273" s="30"/>
    </row>
    <row r="274" ht="39.75" customHeight="1">
      <c r="A274" s="30"/>
      <c r="B274" s="31"/>
      <c r="C274" s="30"/>
      <c r="D274" s="30"/>
      <c r="E274" s="30"/>
      <c r="F274" s="30"/>
      <c r="G274" s="30"/>
      <c r="H274" s="30"/>
      <c r="I274" s="32"/>
      <c r="J274" s="30"/>
      <c r="K274" s="30"/>
      <c r="L274" s="30"/>
      <c r="M274" s="30"/>
      <c r="N274" s="30"/>
      <c r="O274" s="30"/>
      <c r="P274" s="30"/>
      <c r="Q274" s="30"/>
      <c r="R274" s="30"/>
      <c r="S274" s="30"/>
      <c r="T274" s="30"/>
      <c r="U274" s="30"/>
      <c r="V274" s="30"/>
      <c r="W274" s="30"/>
      <c r="X274" s="30"/>
      <c r="Y274" s="30"/>
      <c r="Z274" s="30"/>
      <c r="AA274" s="30"/>
      <c r="AB274" s="30"/>
      <c r="AC274" s="30"/>
    </row>
    <row r="275" ht="39.75" customHeight="1">
      <c r="A275" s="30"/>
      <c r="B275" s="31"/>
      <c r="C275" s="30"/>
      <c r="D275" s="30"/>
      <c r="E275" s="30"/>
      <c r="F275" s="30"/>
      <c r="G275" s="30"/>
      <c r="H275" s="30"/>
      <c r="I275" s="32"/>
      <c r="J275" s="30"/>
      <c r="K275" s="30"/>
      <c r="L275" s="30"/>
      <c r="M275" s="30"/>
      <c r="N275" s="30"/>
      <c r="O275" s="30"/>
      <c r="P275" s="30"/>
      <c r="Q275" s="30"/>
      <c r="R275" s="30"/>
      <c r="S275" s="30"/>
      <c r="T275" s="30"/>
      <c r="U275" s="30"/>
      <c r="V275" s="30"/>
      <c r="W275" s="30"/>
      <c r="X275" s="30"/>
      <c r="Y275" s="30"/>
      <c r="Z275" s="30"/>
      <c r="AA275" s="30"/>
      <c r="AB275" s="30"/>
      <c r="AC275" s="30"/>
    </row>
    <row r="276" ht="39.75" customHeight="1">
      <c r="A276" s="30"/>
      <c r="B276" s="31"/>
      <c r="C276" s="30"/>
      <c r="D276" s="30"/>
      <c r="E276" s="30"/>
      <c r="F276" s="30"/>
      <c r="G276" s="30"/>
      <c r="H276" s="30"/>
      <c r="I276" s="32"/>
      <c r="J276" s="30"/>
      <c r="K276" s="30"/>
      <c r="L276" s="30"/>
      <c r="M276" s="30"/>
      <c r="N276" s="30"/>
      <c r="O276" s="30"/>
      <c r="P276" s="30"/>
      <c r="Q276" s="30"/>
      <c r="R276" s="30"/>
      <c r="S276" s="30"/>
      <c r="T276" s="30"/>
      <c r="U276" s="30"/>
      <c r="V276" s="30"/>
      <c r="W276" s="30"/>
      <c r="X276" s="30"/>
      <c r="Y276" s="30"/>
      <c r="Z276" s="30"/>
      <c r="AA276" s="30"/>
      <c r="AB276" s="30"/>
      <c r="AC276" s="30"/>
    </row>
    <row r="277" ht="39.75" customHeight="1">
      <c r="A277" s="30"/>
      <c r="B277" s="31"/>
      <c r="C277" s="30"/>
      <c r="D277" s="30"/>
      <c r="E277" s="30"/>
      <c r="F277" s="30"/>
      <c r="G277" s="30"/>
      <c r="H277" s="30"/>
      <c r="I277" s="32"/>
      <c r="J277" s="30"/>
      <c r="K277" s="30"/>
      <c r="L277" s="30"/>
      <c r="M277" s="30"/>
      <c r="N277" s="30"/>
      <c r="O277" s="30"/>
      <c r="P277" s="30"/>
      <c r="Q277" s="30"/>
      <c r="R277" s="30"/>
      <c r="S277" s="30"/>
      <c r="T277" s="30"/>
      <c r="U277" s="30"/>
      <c r="V277" s="30"/>
      <c r="W277" s="30"/>
      <c r="X277" s="30"/>
      <c r="Y277" s="30"/>
      <c r="Z277" s="30"/>
      <c r="AA277" s="30"/>
      <c r="AB277" s="30"/>
      <c r="AC277" s="30"/>
    </row>
    <row r="278" ht="39.75" customHeight="1">
      <c r="A278" s="30"/>
      <c r="B278" s="31"/>
      <c r="C278" s="30"/>
      <c r="D278" s="30"/>
      <c r="E278" s="30"/>
      <c r="F278" s="30"/>
      <c r="G278" s="30"/>
      <c r="H278" s="30"/>
      <c r="I278" s="32"/>
      <c r="J278" s="30"/>
      <c r="K278" s="30"/>
      <c r="L278" s="30"/>
      <c r="M278" s="30"/>
      <c r="N278" s="30"/>
      <c r="O278" s="30"/>
      <c r="P278" s="30"/>
      <c r="Q278" s="30"/>
      <c r="R278" s="30"/>
      <c r="S278" s="30"/>
      <c r="T278" s="30"/>
      <c r="U278" s="30"/>
      <c r="V278" s="30"/>
      <c r="W278" s="30"/>
      <c r="X278" s="30"/>
      <c r="Y278" s="30"/>
      <c r="Z278" s="30"/>
      <c r="AA278" s="30"/>
      <c r="AB278" s="30"/>
      <c r="AC278" s="30"/>
    </row>
    <row r="279" ht="39.75" customHeight="1">
      <c r="A279" s="30"/>
      <c r="B279" s="31"/>
      <c r="C279" s="30"/>
      <c r="D279" s="30"/>
      <c r="E279" s="30"/>
      <c r="F279" s="30"/>
      <c r="G279" s="30"/>
      <c r="H279" s="30"/>
      <c r="I279" s="32"/>
      <c r="J279" s="30"/>
      <c r="K279" s="30"/>
      <c r="L279" s="30"/>
      <c r="M279" s="30"/>
      <c r="N279" s="30"/>
      <c r="O279" s="30"/>
      <c r="P279" s="30"/>
      <c r="Q279" s="30"/>
      <c r="R279" s="30"/>
      <c r="S279" s="30"/>
      <c r="T279" s="30"/>
      <c r="U279" s="30"/>
      <c r="V279" s="30"/>
      <c r="W279" s="30"/>
      <c r="X279" s="30"/>
      <c r="Y279" s="30"/>
      <c r="Z279" s="30"/>
      <c r="AA279" s="30"/>
      <c r="AB279" s="30"/>
      <c r="AC279" s="30"/>
    </row>
    <row r="280" ht="39.75" customHeight="1">
      <c r="A280" s="30"/>
      <c r="B280" s="31"/>
      <c r="C280" s="30"/>
      <c r="D280" s="30"/>
      <c r="E280" s="30"/>
      <c r="F280" s="30"/>
      <c r="G280" s="30"/>
      <c r="H280" s="30"/>
      <c r="I280" s="32"/>
      <c r="J280" s="30"/>
      <c r="K280" s="30"/>
      <c r="L280" s="30"/>
      <c r="M280" s="30"/>
      <c r="N280" s="30"/>
      <c r="O280" s="30"/>
      <c r="P280" s="30"/>
      <c r="Q280" s="30"/>
      <c r="R280" s="30"/>
      <c r="S280" s="30"/>
      <c r="T280" s="30"/>
      <c r="U280" s="30"/>
      <c r="V280" s="30"/>
      <c r="W280" s="30"/>
      <c r="X280" s="30"/>
      <c r="Y280" s="30"/>
      <c r="Z280" s="30"/>
      <c r="AA280" s="30"/>
      <c r="AB280" s="30"/>
      <c r="AC280" s="30"/>
    </row>
    <row r="281" ht="39.75" customHeight="1">
      <c r="A281" s="30"/>
      <c r="B281" s="31"/>
      <c r="C281" s="30"/>
      <c r="D281" s="30"/>
      <c r="E281" s="30"/>
      <c r="F281" s="30"/>
      <c r="G281" s="30"/>
      <c r="H281" s="30"/>
      <c r="I281" s="32"/>
      <c r="J281" s="30"/>
      <c r="K281" s="30"/>
      <c r="L281" s="30"/>
      <c r="M281" s="30"/>
      <c r="N281" s="30"/>
      <c r="O281" s="30"/>
      <c r="P281" s="30"/>
      <c r="Q281" s="30"/>
      <c r="R281" s="30"/>
      <c r="S281" s="30"/>
      <c r="T281" s="30"/>
      <c r="U281" s="30"/>
      <c r="V281" s="30"/>
      <c r="W281" s="30"/>
      <c r="X281" s="30"/>
      <c r="Y281" s="30"/>
      <c r="Z281" s="30"/>
      <c r="AA281" s="30"/>
      <c r="AB281" s="30"/>
      <c r="AC281" s="30"/>
    </row>
    <row r="282" ht="39.75" customHeight="1">
      <c r="A282" s="30"/>
      <c r="B282" s="31"/>
      <c r="C282" s="30"/>
      <c r="D282" s="30"/>
      <c r="E282" s="30"/>
      <c r="F282" s="30"/>
      <c r="G282" s="30"/>
      <c r="H282" s="30"/>
      <c r="I282" s="32"/>
      <c r="J282" s="30"/>
      <c r="K282" s="30"/>
      <c r="L282" s="30"/>
      <c r="M282" s="30"/>
      <c r="N282" s="30"/>
      <c r="O282" s="30"/>
      <c r="P282" s="30"/>
      <c r="Q282" s="30"/>
      <c r="R282" s="30"/>
      <c r="S282" s="30"/>
      <c r="T282" s="30"/>
      <c r="U282" s="30"/>
      <c r="V282" s="30"/>
      <c r="W282" s="30"/>
      <c r="X282" s="30"/>
      <c r="Y282" s="30"/>
      <c r="Z282" s="30"/>
      <c r="AA282" s="30"/>
      <c r="AB282" s="30"/>
      <c r="AC282" s="30"/>
    </row>
    <row r="283" ht="39.75" customHeight="1">
      <c r="A283" s="30"/>
      <c r="B283" s="31"/>
      <c r="C283" s="30"/>
      <c r="D283" s="30"/>
      <c r="E283" s="30"/>
      <c r="F283" s="30"/>
      <c r="G283" s="30"/>
      <c r="H283" s="30"/>
      <c r="I283" s="32"/>
      <c r="J283" s="30"/>
      <c r="K283" s="30"/>
      <c r="L283" s="30"/>
      <c r="M283" s="30"/>
      <c r="N283" s="30"/>
      <c r="O283" s="30"/>
      <c r="P283" s="30"/>
      <c r="Q283" s="30"/>
      <c r="R283" s="30"/>
      <c r="S283" s="30"/>
      <c r="T283" s="30"/>
      <c r="U283" s="30"/>
      <c r="V283" s="30"/>
      <c r="W283" s="30"/>
      <c r="X283" s="30"/>
      <c r="Y283" s="30"/>
      <c r="Z283" s="30"/>
      <c r="AA283" s="30"/>
      <c r="AB283" s="30"/>
      <c r="AC283" s="30"/>
    </row>
    <row r="284" ht="39.75" customHeight="1">
      <c r="A284" s="30"/>
      <c r="B284" s="31"/>
      <c r="C284" s="30"/>
      <c r="D284" s="30"/>
      <c r="E284" s="30"/>
      <c r="F284" s="30"/>
      <c r="G284" s="30"/>
      <c r="H284" s="30"/>
      <c r="I284" s="32"/>
      <c r="J284" s="30"/>
      <c r="K284" s="30"/>
      <c r="L284" s="30"/>
      <c r="M284" s="30"/>
      <c r="N284" s="30"/>
      <c r="O284" s="30"/>
      <c r="P284" s="30"/>
      <c r="Q284" s="30"/>
      <c r="R284" s="30"/>
      <c r="S284" s="30"/>
      <c r="T284" s="30"/>
      <c r="U284" s="30"/>
      <c r="V284" s="30"/>
      <c r="W284" s="30"/>
      <c r="X284" s="30"/>
      <c r="Y284" s="30"/>
      <c r="Z284" s="30"/>
      <c r="AA284" s="30"/>
      <c r="AB284" s="30"/>
      <c r="AC284" s="30"/>
    </row>
    <row r="285" ht="39.75" customHeight="1">
      <c r="A285" s="30"/>
      <c r="B285" s="31"/>
      <c r="C285" s="30"/>
      <c r="D285" s="30"/>
      <c r="E285" s="30"/>
      <c r="F285" s="30"/>
      <c r="G285" s="30"/>
      <c r="H285" s="30"/>
      <c r="I285" s="32"/>
      <c r="J285" s="30"/>
      <c r="K285" s="30"/>
      <c r="L285" s="30"/>
      <c r="M285" s="30"/>
      <c r="N285" s="30"/>
      <c r="O285" s="30"/>
      <c r="P285" s="30"/>
      <c r="Q285" s="30"/>
      <c r="R285" s="30"/>
      <c r="S285" s="30"/>
      <c r="T285" s="30"/>
      <c r="U285" s="30"/>
      <c r="V285" s="30"/>
      <c r="W285" s="30"/>
      <c r="X285" s="30"/>
      <c r="Y285" s="30"/>
      <c r="Z285" s="30"/>
      <c r="AA285" s="30"/>
      <c r="AB285" s="30"/>
      <c r="AC285" s="30"/>
    </row>
    <row r="286" ht="39.75" customHeight="1">
      <c r="A286" s="30"/>
      <c r="B286" s="31"/>
      <c r="C286" s="30"/>
      <c r="D286" s="30"/>
      <c r="E286" s="30"/>
      <c r="F286" s="30"/>
      <c r="G286" s="30"/>
      <c r="H286" s="30"/>
      <c r="I286" s="32"/>
      <c r="J286" s="30"/>
      <c r="K286" s="30"/>
      <c r="L286" s="30"/>
      <c r="M286" s="30"/>
      <c r="N286" s="30"/>
      <c r="O286" s="30"/>
      <c r="P286" s="30"/>
      <c r="Q286" s="30"/>
      <c r="R286" s="30"/>
      <c r="S286" s="30"/>
      <c r="T286" s="30"/>
      <c r="U286" s="30"/>
      <c r="V286" s="30"/>
      <c r="W286" s="30"/>
      <c r="X286" s="30"/>
      <c r="Y286" s="30"/>
      <c r="Z286" s="30"/>
      <c r="AA286" s="30"/>
      <c r="AB286" s="30"/>
      <c r="AC286" s="30"/>
    </row>
    <row r="287" ht="39.75" customHeight="1">
      <c r="A287" s="30"/>
      <c r="B287" s="31"/>
      <c r="C287" s="30"/>
      <c r="D287" s="30"/>
      <c r="E287" s="30"/>
      <c r="F287" s="30"/>
      <c r="G287" s="30"/>
      <c r="H287" s="30"/>
      <c r="I287" s="32"/>
      <c r="J287" s="30"/>
      <c r="K287" s="30"/>
      <c r="L287" s="30"/>
      <c r="M287" s="30"/>
      <c r="N287" s="30"/>
      <c r="O287" s="30"/>
      <c r="P287" s="30"/>
      <c r="Q287" s="30"/>
      <c r="R287" s="30"/>
      <c r="S287" s="30"/>
      <c r="T287" s="30"/>
      <c r="U287" s="30"/>
      <c r="V287" s="30"/>
      <c r="W287" s="30"/>
      <c r="X287" s="30"/>
      <c r="Y287" s="30"/>
      <c r="Z287" s="30"/>
      <c r="AA287" s="30"/>
      <c r="AB287" s="30"/>
      <c r="AC287" s="30"/>
    </row>
    <row r="288" ht="39.75" customHeight="1">
      <c r="A288" s="30"/>
      <c r="B288" s="31"/>
      <c r="C288" s="30"/>
      <c r="D288" s="30"/>
      <c r="E288" s="30"/>
      <c r="F288" s="30"/>
      <c r="G288" s="30"/>
      <c r="H288" s="30"/>
      <c r="I288" s="32"/>
      <c r="J288" s="30"/>
      <c r="K288" s="30"/>
      <c r="L288" s="30"/>
      <c r="M288" s="30"/>
      <c r="N288" s="30"/>
      <c r="O288" s="30"/>
      <c r="P288" s="30"/>
      <c r="Q288" s="30"/>
      <c r="R288" s="30"/>
      <c r="S288" s="30"/>
      <c r="T288" s="30"/>
      <c r="U288" s="30"/>
      <c r="V288" s="30"/>
      <c r="W288" s="30"/>
      <c r="X288" s="30"/>
      <c r="Y288" s="30"/>
      <c r="Z288" s="30"/>
      <c r="AA288" s="30"/>
      <c r="AB288" s="30"/>
      <c r="AC288" s="30"/>
    </row>
    <row r="289" ht="39.75" customHeight="1">
      <c r="A289" s="30"/>
      <c r="B289" s="31"/>
      <c r="C289" s="30"/>
      <c r="D289" s="30"/>
      <c r="E289" s="30"/>
      <c r="F289" s="30"/>
      <c r="G289" s="30"/>
      <c r="H289" s="30"/>
      <c r="I289" s="32"/>
      <c r="J289" s="30"/>
      <c r="K289" s="30"/>
      <c r="L289" s="30"/>
      <c r="M289" s="30"/>
      <c r="N289" s="30"/>
      <c r="O289" s="30"/>
      <c r="P289" s="30"/>
      <c r="Q289" s="30"/>
      <c r="R289" s="30"/>
      <c r="S289" s="30"/>
      <c r="T289" s="30"/>
      <c r="U289" s="30"/>
      <c r="V289" s="30"/>
      <c r="W289" s="30"/>
      <c r="X289" s="30"/>
      <c r="Y289" s="30"/>
      <c r="Z289" s="30"/>
      <c r="AA289" s="30"/>
      <c r="AB289" s="30"/>
      <c r="AC289" s="30"/>
    </row>
    <row r="290" ht="39.75" customHeight="1">
      <c r="A290" s="30"/>
      <c r="B290" s="31"/>
      <c r="C290" s="30"/>
      <c r="D290" s="30"/>
      <c r="E290" s="30"/>
      <c r="F290" s="30"/>
      <c r="G290" s="30"/>
      <c r="H290" s="30"/>
      <c r="I290" s="32"/>
      <c r="J290" s="30"/>
      <c r="K290" s="30"/>
      <c r="L290" s="30"/>
      <c r="M290" s="30"/>
      <c r="N290" s="30"/>
      <c r="O290" s="30"/>
      <c r="P290" s="30"/>
      <c r="Q290" s="30"/>
      <c r="R290" s="30"/>
      <c r="S290" s="30"/>
      <c r="T290" s="30"/>
      <c r="U290" s="30"/>
      <c r="V290" s="30"/>
      <c r="W290" s="30"/>
      <c r="X290" s="30"/>
      <c r="Y290" s="30"/>
      <c r="Z290" s="30"/>
      <c r="AA290" s="30"/>
      <c r="AB290" s="30"/>
      <c r="AC290" s="30"/>
    </row>
    <row r="291" ht="39.75" customHeight="1">
      <c r="A291" s="30"/>
      <c r="B291" s="31"/>
      <c r="C291" s="30"/>
      <c r="D291" s="30"/>
      <c r="E291" s="30"/>
      <c r="F291" s="30"/>
      <c r="G291" s="30"/>
      <c r="H291" s="30"/>
      <c r="I291" s="32"/>
      <c r="J291" s="30"/>
      <c r="K291" s="30"/>
      <c r="L291" s="30"/>
      <c r="M291" s="30"/>
      <c r="N291" s="30"/>
      <c r="O291" s="30"/>
      <c r="P291" s="30"/>
      <c r="Q291" s="30"/>
      <c r="R291" s="30"/>
      <c r="S291" s="30"/>
      <c r="T291" s="30"/>
      <c r="U291" s="30"/>
      <c r="V291" s="30"/>
      <c r="W291" s="30"/>
      <c r="X291" s="30"/>
      <c r="Y291" s="30"/>
      <c r="Z291" s="30"/>
      <c r="AA291" s="30"/>
      <c r="AB291" s="30"/>
      <c r="AC291" s="30"/>
    </row>
    <row r="292" ht="39.75" customHeight="1">
      <c r="A292" s="30"/>
      <c r="B292" s="31"/>
      <c r="C292" s="30"/>
      <c r="D292" s="30"/>
      <c r="E292" s="30"/>
      <c r="F292" s="30"/>
      <c r="G292" s="30"/>
      <c r="H292" s="30"/>
      <c r="I292" s="32"/>
      <c r="J292" s="30"/>
      <c r="K292" s="30"/>
      <c r="L292" s="30"/>
      <c r="M292" s="30"/>
      <c r="N292" s="30"/>
      <c r="O292" s="30"/>
      <c r="P292" s="30"/>
      <c r="Q292" s="30"/>
      <c r="R292" s="30"/>
      <c r="S292" s="30"/>
      <c r="T292" s="30"/>
      <c r="U292" s="30"/>
      <c r="V292" s="30"/>
      <c r="W292" s="30"/>
      <c r="X292" s="30"/>
      <c r="Y292" s="30"/>
      <c r="Z292" s="30"/>
      <c r="AA292" s="30"/>
      <c r="AB292" s="30"/>
      <c r="AC292" s="30"/>
    </row>
    <row r="293" ht="39.75" customHeight="1">
      <c r="A293" s="30"/>
      <c r="B293" s="31"/>
      <c r="C293" s="30"/>
      <c r="D293" s="30"/>
      <c r="E293" s="30"/>
      <c r="F293" s="30"/>
      <c r="G293" s="30"/>
      <c r="H293" s="30"/>
      <c r="I293" s="32"/>
      <c r="J293" s="30"/>
      <c r="K293" s="30"/>
      <c r="L293" s="30"/>
      <c r="M293" s="30"/>
      <c r="N293" s="30"/>
      <c r="O293" s="30"/>
      <c r="P293" s="30"/>
      <c r="Q293" s="30"/>
      <c r="R293" s="30"/>
      <c r="S293" s="30"/>
      <c r="T293" s="30"/>
      <c r="U293" s="30"/>
      <c r="V293" s="30"/>
      <c r="W293" s="30"/>
      <c r="X293" s="30"/>
      <c r="Y293" s="30"/>
      <c r="Z293" s="30"/>
      <c r="AA293" s="30"/>
      <c r="AB293" s="30"/>
      <c r="AC293" s="30"/>
    </row>
    <row r="294" ht="39.75" customHeight="1">
      <c r="A294" s="30"/>
      <c r="B294" s="31"/>
      <c r="C294" s="30"/>
      <c r="D294" s="30"/>
      <c r="E294" s="30"/>
      <c r="F294" s="30"/>
      <c r="G294" s="30"/>
      <c r="H294" s="30"/>
      <c r="I294" s="32"/>
      <c r="J294" s="30"/>
      <c r="K294" s="30"/>
      <c r="L294" s="30"/>
      <c r="M294" s="30"/>
      <c r="N294" s="30"/>
      <c r="O294" s="30"/>
      <c r="P294" s="30"/>
      <c r="Q294" s="30"/>
      <c r="R294" s="30"/>
      <c r="S294" s="30"/>
      <c r="T294" s="30"/>
      <c r="U294" s="30"/>
      <c r="V294" s="30"/>
      <c r="W294" s="30"/>
      <c r="X294" s="30"/>
      <c r="Y294" s="30"/>
      <c r="Z294" s="30"/>
      <c r="AA294" s="30"/>
      <c r="AB294" s="30"/>
      <c r="AC294" s="30"/>
    </row>
    <row r="295" ht="39.75" customHeight="1">
      <c r="A295" s="30"/>
      <c r="B295" s="31"/>
      <c r="C295" s="30"/>
      <c r="D295" s="30"/>
      <c r="E295" s="30"/>
      <c r="F295" s="30"/>
      <c r="G295" s="30"/>
      <c r="H295" s="30"/>
      <c r="I295" s="32"/>
      <c r="J295" s="30"/>
      <c r="K295" s="30"/>
      <c r="L295" s="30"/>
      <c r="M295" s="30"/>
      <c r="N295" s="30"/>
      <c r="O295" s="30"/>
      <c r="P295" s="30"/>
      <c r="Q295" s="30"/>
      <c r="R295" s="30"/>
      <c r="S295" s="30"/>
      <c r="T295" s="30"/>
      <c r="U295" s="30"/>
      <c r="V295" s="30"/>
      <c r="W295" s="30"/>
      <c r="X295" s="30"/>
      <c r="Y295" s="30"/>
      <c r="Z295" s="30"/>
      <c r="AA295" s="30"/>
      <c r="AB295" s="30"/>
      <c r="AC295" s="30"/>
    </row>
    <row r="296" ht="39.75" customHeight="1">
      <c r="A296" s="30"/>
      <c r="B296" s="31"/>
      <c r="C296" s="30"/>
      <c r="D296" s="30"/>
      <c r="E296" s="30"/>
      <c r="F296" s="30"/>
      <c r="G296" s="30"/>
      <c r="H296" s="30"/>
      <c r="I296" s="32"/>
      <c r="J296" s="30"/>
      <c r="K296" s="30"/>
      <c r="L296" s="30"/>
      <c r="M296" s="30"/>
      <c r="N296" s="30"/>
      <c r="O296" s="30"/>
      <c r="P296" s="30"/>
      <c r="Q296" s="30"/>
      <c r="R296" s="30"/>
      <c r="S296" s="30"/>
      <c r="T296" s="30"/>
      <c r="U296" s="30"/>
      <c r="V296" s="30"/>
      <c r="W296" s="30"/>
      <c r="X296" s="30"/>
      <c r="Y296" s="30"/>
      <c r="Z296" s="30"/>
      <c r="AA296" s="30"/>
      <c r="AB296" s="30"/>
      <c r="AC296" s="30"/>
    </row>
    <row r="297" ht="39.75" customHeight="1">
      <c r="A297" s="30"/>
      <c r="B297" s="31"/>
      <c r="C297" s="30"/>
      <c r="D297" s="30"/>
      <c r="E297" s="30"/>
      <c r="F297" s="30"/>
      <c r="G297" s="30"/>
      <c r="H297" s="30"/>
      <c r="I297" s="32"/>
      <c r="J297" s="30"/>
      <c r="K297" s="30"/>
      <c r="L297" s="30"/>
      <c r="M297" s="30"/>
      <c r="N297" s="30"/>
      <c r="O297" s="30"/>
      <c r="P297" s="30"/>
      <c r="Q297" s="30"/>
      <c r="R297" s="30"/>
      <c r="S297" s="30"/>
      <c r="T297" s="30"/>
      <c r="U297" s="30"/>
      <c r="V297" s="30"/>
      <c r="W297" s="30"/>
      <c r="X297" s="30"/>
      <c r="Y297" s="30"/>
      <c r="Z297" s="30"/>
      <c r="AA297" s="30"/>
      <c r="AB297" s="30"/>
      <c r="AC297" s="30"/>
    </row>
    <row r="298" ht="39.75" customHeight="1">
      <c r="A298" s="30"/>
      <c r="B298" s="31"/>
      <c r="C298" s="30"/>
      <c r="D298" s="30"/>
      <c r="E298" s="30"/>
      <c r="F298" s="30"/>
      <c r="G298" s="30"/>
      <c r="H298" s="30"/>
      <c r="I298" s="32"/>
      <c r="J298" s="30"/>
      <c r="K298" s="30"/>
      <c r="L298" s="30"/>
      <c r="M298" s="30"/>
      <c r="N298" s="30"/>
      <c r="O298" s="30"/>
      <c r="P298" s="30"/>
      <c r="Q298" s="30"/>
      <c r="R298" s="30"/>
      <c r="S298" s="30"/>
      <c r="T298" s="30"/>
      <c r="U298" s="30"/>
      <c r="V298" s="30"/>
      <c r="W298" s="30"/>
      <c r="X298" s="30"/>
      <c r="Y298" s="30"/>
      <c r="Z298" s="30"/>
      <c r="AA298" s="30"/>
      <c r="AB298" s="30"/>
      <c r="AC298" s="30"/>
    </row>
    <row r="299" ht="39.75" customHeight="1">
      <c r="A299" s="30"/>
      <c r="B299" s="31"/>
      <c r="C299" s="30"/>
      <c r="D299" s="30"/>
      <c r="E299" s="30"/>
      <c r="F299" s="30"/>
      <c r="G299" s="30"/>
      <c r="H299" s="30"/>
      <c r="I299" s="32"/>
      <c r="J299" s="30"/>
      <c r="K299" s="30"/>
      <c r="L299" s="30"/>
      <c r="M299" s="30"/>
      <c r="N299" s="30"/>
      <c r="O299" s="30"/>
      <c r="P299" s="30"/>
      <c r="Q299" s="30"/>
      <c r="R299" s="30"/>
      <c r="S299" s="30"/>
      <c r="T299" s="30"/>
      <c r="U299" s="30"/>
      <c r="V299" s="30"/>
      <c r="W299" s="30"/>
      <c r="X299" s="30"/>
      <c r="Y299" s="30"/>
      <c r="Z299" s="30"/>
      <c r="AA299" s="30"/>
      <c r="AB299" s="30"/>
      <c r="AC299" s="30"/>
    </row>
    <row r="300" ht="39.75" customHeight="1">
      <c r="A300" s="30"/>
      <c r="B300" s="31"/>
      <c r="C300" s="30"/>
      <c r="D300" s="30"/>
      <c r="E300" s="30"/>
      <c r="F300" s="30"/>
      <c r="G300" s="30"/>
      <c r="H300" s="30"/>
      <c r="I300" s="32"/>
      <c r="J300" s="30"/>
      <c r="K300" s="30"/>
      <c r="L300" s="30"/>
      <c r="M300" s="30"/>
      <c r="N300" s="30"/>
      <c r="O300" s="30"/>
      <c r="P300" s="30"/>
      <c r="Q300" s="30"/>
      <c r="R300" s="30"/>
      <c r="S300" s="30"/>
      <c r="T300" s="30"/>
      <c r="U300" s="30"/>
      <c r="V300" s="30"/>
      <c r="W300" s="30"/>
      <c r="X300" s="30"/>
      <c r="Y300" s="30"/>
      <c r="Z300" s="30"/>
      <c r="AA300" s="30"/>
      <c r="AB300" s="30"/>
      <c r="AC300" s="30"/>
    </row>
    <row r="301" ht="39.75" customHeight="1">
      <c r="A301" s="30"/>
      <c r="B301" s="31"/>
      <c r="C301" s="30"/>
      <c r="D301" s="30"/>
      <c r="E301" s="30"/>
      <c r="F301" s="30"/>
      <c r="G301" s="30"/>
      <c r="H301" s="30"/>
      <c r="I301" s="32"/>
      <c r="J301" s="30"/>
      <c r="K301" s="30"/>
      <c r="L301" s="30"/>
      <c r="M301" s="30"/>
      <c r="N301" s="30"/>
      <c r="O301" s="30"/>
      <c r="P301" s="30"/>
      <c r="Q301" s="30"/>
      <c r="R301" s="30"/>
      <c r="S301" s="30"/>
      <c r="T301" s="30"/>
      <c r="U301" s="30"/>
      <c r="V301" s="30"/>
      <c r="W301" s="30"/>
      <c r="X301" s="30"/>
      <c r="Y301" s="30"/>
      <c r="Z301" s="30"/>
      <c r="AA301" s="30"/>
      <c r="AB301" s="30"/>
      <c r="AC301" s="30"/>
    </row>
    <row r="302" ht="39.75" customHeight="1">
      <c r="A302" s="30"/>
      <c r="B302" s="31"/>
      <c r="C302" s="30"/>
      <c r="D302" s="30"/>
      <c r="E302" s="30"/>
      <c r="F302" s="30"/>
      <c r="G302" s="30"/>
      <c r="H302" s="30"/>
      <c r="I302" s="32"/>
      <c r="J302" s="30"/>
      <c r="K302" s="30"/>
      <c r="L302" s="30"/>
      <c r="M302" s="30"/>
      <c r="N302" s="30"/>
      <c r="O302" s="30"/>
      <c r="P302" s="30"/>
      <c r="Q302" s="30"/>
      <c r="R302" s="30"/>
      <c r="S302" s="30"/>
      <c r="T302" s="30"/>
      <c r="U302" s="30"/>
      <c r="V302" s="30"/>
      <c r="W302" s="30"/>
      <c r="X302" s="30"/>
      <c r="Y302" s="30"/>
      <c r="Z302" s="30"/>
      <c r="AA302" s="30"/>
      <c r="AB302" s="30"/>
      <c r="AC302" s="30"/>
    </row>
    <row r="303" ht="39.75" customHeight="1">
      <c r="A303" s="30"/>
      <c r="B303" s="31"/>
      <c r="C303" s="30"/>
      <c r="D303" s="30"/>
      <c r="E303" s="30"/>
      <c r="F303" s="30"/>
      <c r="G303" s="30"/>
      <c r="H303" s="30"/>
      <c r="I303" s="32"/>
      <c r="J303" s="30"/>
      <c r="K303" s="30"/>
      <c r="L303" s="30"/>
      <c r="M303" s="30"/>
      <c r="N303" s="30"/>
      <c r="O303" s="30"/>
      <c r="P303" s="30"/>
      <c r="Q303" s="30"/>
      <c r="R303" s="30"/>
      <c r="S303" s="30"/>
      <c r="T303" s="30"/>
      <c r="U303" s="30"/>
      <c r="V303" s="30"/>
      <c r="W303" s="30"/>
      <c r="X303" s="30"/>
      <c r="Y303" s="30"/>
      <c r="Z303" s="30"/>
      <c r="AA303" s="30"/>
      <c r="AB303" s="30"/>
      <c r="AC303" s="30"/>
    </row>
    <row r="304" ht="39.75" customHeight="1">
      <c r="A304" s="30"/>
      <c r="B304" s="31"/>
      <c r="C304" s="30"/>
      <c r="D304" s="30"/>
      <c r="E304" s="30"/>
      <c r="F304" s="30"/>
      <c r="G304" s="30"/>
      <c r="H304" s="30"/>
      <c r="I304" s="32"/>
      <c r="J304" s="30"/>
      <c r="K304" s="30"/>
      <c r="L304" s="30"/>
      <c r="M304" s="30"/>
      <c r="N304" s="30"/>
      <c r="O304" s="30"/>
      <c r="P304" s="30"/>
      <c r="Q304" s="30"/>
      <c r="R304" s="30"/>
      <c r="S304" s="30"/>
      <c r="T304" s="30"/>
      <c r="U304" s="30"/>
      <c r="V304" s="30"/>
      <c r="W304" s="30"/>
      <c r="X304" s="30"/>
      <c r="Y304" s="30"/>
      <c r="Z304" s="30"/>
      <c r="AA304" s="30"/>
      <c r="AB304" s="30"/>
      <c r="AC304" s="30"/>
    </row>
    <row r="305" ht="39.75" customHeight="1">
      <c r="A305" s="30"/>
      <c r="B305" s="31"/>
      <c r="C305" s="30"/>
      <c r="D305" s="30"/>
      <c r="E305" s="30"/>
      <c r="F305" s="30"/>
      <c r="G305" s="30"/>
      <c r="H305" s="30"/>
      <c r="I305" s="32"/>
      <c r="J305" s="30"/>
      <c r="K305" s="30"/>
      <c r="L305" s="30"/>
      <c r="M305" s="30"/>
      <c r="N305" s="30"/>
      <c r="O305" s="30"/>
      <c r="P305" s="30"/>
      <c r="Q305" s="30"/>
      <c r="R305" s="30"/>
      <c r="S305" s="30"/>
      <c r="T305" s="30"/>
      <c r="U305" s="30"/>
      <c r="V305" s="30"/>
      <c r="W305" s="30"/>
      <c r="X305" s="30"/>
      <c r="Y305" s="30"/>
      <c r="Z305" s="30"/>
      <c r="AA305" s="30"/>
      <c r="AB305" s="30"/>
      <c r="AC305" s="30"/>
    </row>
    <row r="306" ht="39.75" customHeight="1">
      <c r="A306" s="30"/>
      <c r="B306" s="31"/>
      <c r="C306" s="30"/>
      <c r="D306" s="30"/>
      <c r="E306" s="30"/>
      <c r="F306" s="30"/>
      <c r="G306" s="30"/>
      <c r="H306" s="30"/>
      <c r="I306" s="32"/>
      <c r="J306" s="30"/>
      <c r="K306" s="30"/>
      <c r="L306" s="30"/>
      <c r="M306" s="30"/>
      <c r="N306" s="30"/>
      <c r="O306" s="30"/>
      <c r="P306" s="30"/>
      <c r="Q306" s="30"/>
      <c r="R306" s="30"/>
      <c r="S306" s="30"/>
      <c r="T306" s="30"/>
      <c r="U306" s="30"/>
      <c r="V306" s="30"/>
      <c r="W306" s="30"/>
      <c r="X306" s="30"/>
      <c r="Y306" s="30"/>
      <c r="Z306" s="30"/>
      <c r="AA306" s="30"/>
      <c r="AB306" s="30"/>
      <c r="AC306" s="30"/>
    </row>
    <row r="307" ht="39.75" customHeight="1">
      <c r="A307" s="30"/>
      <c r="B307" s="31"/>
      <c r="C307" s="30"/>
      <c r="D307" s="30"/>
      <c r="E307" s="30"/>
      <c r="F307" s="30"/>
      <c r="G307" s="30"/>
      <c r="H307" s="30"/>
      <c r="I307" s="32"/>
      <c r="J307" s="30"/>
      <c r="K307" s="30"/>
      <c r="L307" s="30"/>
      <c r="M307" s="30"/>
      <c r="N307" s="30"/>
      <c r="O307" s="30"/>
      <c r="P307" s="30"/>
      <c r="Q307" s="30"/>
      <c r="R307" s="30"/>
      <c r="S307" s="30"/>
      <c r="T307" s="30"/>
      <c r="U307" s="30"/>
      <c r="V307" s="30"/>
      <c r="W307" s="30"/>
      <c r="X307" s="30"/>
      <c r="Y307" s="30"/>
      <c r="Z307" s="30"/>
      <c r="AA307" s="30"/>
      <c r="AB307" s="30"/>
      <c r="AC307" s="30"/>
    </row>
    <row r="308" ht="39.75" customHeight="1">
      <c r="A308" s="30"/>
      <c r="B308" s="31"/>
      <c r="C308" s="30"/>
      <c r="D308" s="30"/>
      <c r="E308" s="30"/>
      <c r="F308" s="30"/>
      <c r="G308" s="30"/>
      <c r="H308" s="30"/>
      <c r="I308" s="32"/>
      <c r="J308" s="30"/>
      <c r="K308" s="30"/>
      <c r="L308" s="30"/>
      <c r="M308" s="30"/>
      <c r="N308" s="30"/>
      <c r="O308" s="30"/>
      <c r="P308" s="30"/>
      <c r="Q308" s="30"/>
      <c r="R308" s="30"/>
      <c r="S308" s="30"/>
      <c r="T308" s="30"/>
      <c r="U308" s="30"/>
      <c r="V308" s="30"/>
      <c r="W308" s="30"/>
      <c r="X308" s="30"/>
      <c r="Y308" s="30"/>
      <c r="Z308" s="30"/>
      <c r="AA308" s="30"/>
      <c r="AB308" s="30"/>
      <c r="AC308" s="30"/>
    </row>
    <row r="309" ht="39.75" customHeight="1">
      <c r="A309" s="30"/>
      <c r="B309" s="31"/>
      <c r="C309" s="30"/>
      <c r="D309" s="30"/>
      <c r="E309" s="30"/>
      <c r="F309" s="30"/>
      <c r="G309" s="30"/>
      <c r="H309" s="30"/>
      <c r="I309" s="32"/>
      <c r="J309" s="30"/>
      <c r="K309" s="30"/>
      <c r="L309" s="30"/>
      <c r="M309" s="30"/>
      <c r="N309" s="30"/>
      <c r="O309" s="30"/>
      <c r="P309" s="30"/>
      <c r="Q309" s="30"/>
      <c r="R309" s="30"/>
      <c r="S309" s="30"/>
      <c r="T309" s="30"/>
      <c r="U309" s="30"/>
      <c r="V309" s="30"/>
      <c r="W309" s="30"/>
      <c r="X309" s="30"/>
      <c r="Y309" s="30"/>
      <c r="Z309" s="30"/>
      <c r="AA309" s="30"/>
      <c r="AB309" s="30"/>
      <c r="AC309" s="30"/>
    </row>
    <row r="310" ht="39.75" customHeight="1">
      <c r="A310" s="30"/>
      <c r="B310" s="31"/>
      <c r="C310" s="30"/>
      <c r="D310" s="30"/>
      <c r="E310" s="30"/>
      <c r="F310" s="30"/>
      <c r="G310" s="30"/>
      <c r="H310" s="30"/>
      <c r="I310" s="32"/>
      <c r="J310" s="30"/>
      <c r="K310" s="30"/>
      <c r="L310" s="30"/>
      <c r="M310" s="30"/>
      <c r="N310" s="30"/>
      <c r="O310" s="30"/>
      <c r="P310" s="30"/>
      <c r="Q310" s="30"/>
      <c r="R310" s="30"/>
      <c r="S310" s="30"/>
      <c r="T310" s="30"/>
      <c r="U310" s="30"/>
      <c r="V310" s="30"/>
      <c r="W310" s="30"/>
      <c r="X310" s="30"/>
      <c r="Y310" s="30"/>
      <c r="Z310" s="30"/>
      <c r="AA310" s="30"/>
      <c r="AB310" s="30"/>
      <c r="AC310" s="30"/>
    </row>
    <row r="311" ht="39.75" customHeight="1">
      <c r="A311" s="30"/>
      <c r="B311" s="31"/>
      <c r="C311" s="30"/>
      <c r="D311" s="30"/>
      <c r="E311" s="30"/>
      <c r="F311" s="30"/>
      <c r="G311" s="30"/>
      <c r="H311" s="30"/>
      <c r="I311" s="32"/>
      <c r="J311" s="30"/>
      <c r="K311" s="30"/>
      <c r="L311" s="30"/>
      <c r="M311" s="30"/>
      <c r="N311" s="30"/>
      <c r="O311" s="30"/>
      <c r="P311" s="30"/>
      <c r="Q311" s="30"/>
      <c r="R311" s="30"/>
      <c r="S311" s="30"/>
      <c r="T311" s="30"/>
      <c r="U311" s="30"/>
      <c r="V311" s="30"/>
      <c r="W311" s="30"/>
      <c r="X311" s="30"/>
      <c r="Y311" s="30"/>
      <c r="Z311" s="30"/>
      <c r="AA311" s="30"/>
      <c r="AB311" s="30"/>
      <c r="AC311" s="30"/>
    </row>
    <row r="312" ht="39.75" customHeight="1">
      <c r="A312" s="30"/>
      <c r="B312" s="31"/>
      <c r="C312" s="30"/>
      <c r="D312" s="30"/>
      <c r="E312" s="30"/>
      <c r="F312" s="30"/>
      <c r="G312" s="30"/>
      <c r="H312" s="30"/>
      <c r="I312" s="32"/>
      <c r="J312" s="30"/>
      <c r="K312" s="30"/>
      <c r="L312" s="30"/>
      <c r="M312" s="30"/>
      <c r="N312" s="30"/>
      <c r="O312" s="30"/>
      <c r="P312" s="30"/>
      <c r="Q312" s="30"/>
      <c r="R312" s="30"/>
      <c r="S312" s="30"/>
      <c r="T312" s="30"/>
      <c r="U312" s="30"/>
      <c r="V312" s="30"/>
      <c r="W312" s="30"/>
      <c r="X312" s="30"/>
      <c r="Y312" s="30"/>
      <c r="Z312" s="30"/>
      <c r="AA312" s="30"/>
      <c r="AB312" s="30"/>
      <c r="AC312" s="30"/>
    </row>
    <row r="313" ht="39.75" customHeight="1">
      <c r="A313" s="30"/>
      <c r="B313" s="31"/>
      <c r="C313" s="30"/>
      <c r="D313" s="30"/>
      <c r="E313" s="30"/>
      <c r="F313" s="30"/>
      <c r="G313" s="30"/>
      <c r="H313" s="30"/>
      <c r="I313" s="32"/>
      <c r="J313" s="30"/>
      <c r="K313" s="30"/>
      <c r="L313" s="30"/>
      <c r="M313" s="30"/>
      <c r="N313" s="30"/>
      <c r="O313" s="30"/>
      <c r="P313" s="30"/>
      <c r="Q313" s="30"/>
      <c r="R313" s="30"/>
      <c r="S313" s="30"/>
      <c r="T313" s="30"/>
      <c r="U313" s="30"/>
      <c r="V313" s="30"/>
      <c r="W313" s="30"/>
      <c r="X313" s="30"/>
      <c r="Y313" s="30"/>
      <c r="Z313" s="30"/>
      <c r="AA313" s="30"/>
      <c r="AB313" s="30"/>
      <c r="AC313" s="30"/>
    </row>
    <row r="314" ht="39.75" customHeight="1">
      <c r="A314" s="30"/>
      <c r="B314" s="31"/>
      <c r="C314" s="30"/>
      <c r="D314" s="30"/>
      <c r="E314" s="30"/>
      <c r="F314" s="30"/>
      <c r="G314" s="30"/>
      <c r="H314" s="30"/>
      <c r="I314" s="32"/>
      <c r="J314" s="30"/>
      <c r="K314" s="30"/>
      <c r="L314" s="30"/>
      <c r="M314" s="30"/>
      <c r="N314" s="30"/>
      <c r="O314" s="30"/>
      <c r="P314" s="30"/>
      <c r="Q314" s="30"/>
      <c r="R314" s="30"/>
      <c r="S314" s="30"/>
      <c r="T314" s="30"/>
      <c r="U314" s="30"/>
      <c r="V314" s="30"/>
      <c r="W314" s="30"/>
      <c r="X314" s="30"/>
      <c r="Y314" s="30"/>
      <c r="Z314" s="30"/>
      <c r="AA314" s="30"/>
      <c r="AB314" s="30"/>
      <c r="AC314" s="30"/>
    </row>
    <row r="315" ht="39.75" customHeight="1">
      <c r="A315" s="30"/>
      <c r="B315" s="31"/>
      <c r="C315" s="30"/>
      <c r="D315" s="30"/>
      <c r="E315" s="30"/>
      <c r="F315" s="30"/>
      <c r="G315" s="30"/>
      <c r="H315" s="30"/>
      <c r="I315" s="32"/>
      <c r="J315" s="30"/>
      <c r="K315" s="30"/>
      <c r="L315" s="30"/>
      <c r="M315" s="30"/>
      <c r="N315" s="30"/>
      <c r="O315" s="30"/>
      <c r="P315" s="30"/>
      <c r="Q315" s="30"/>
      <c r="R315" s="30"/>
      <c r="S315" s="30"/>
      <c r="T315" s="30"/>
      <c r="U315" s="30"/>
      <c r="V315" s="30"/>
      <c r="W315" s="30"/>
      <c r="X315" s="30"/>
      <c r="Y315" s="30"/>
      <c r="Z315" s="30"/>
      <c r="AA315" s="30"/>
      <c r="AB315" s="30"/>
      <c r="AC315" s="30"/>
    </row>
    <row r="316" ht="39.75" customHeight="1">
      <c r="A316" s="30"/>
      <c r="B316" s="31"/>
      <c r="C316" s="30"/>
      <c r="D316" s="30"/>
      <c r="E316" s="30"/>
      <c r="F316" s="30"/>
      <c r="G316" s="30"/>
      <c r="H316" s="30"/>
      <c r="I316" s="32"/>
      <c r="J316" s="30"/>
      <c r="K316" s="30"/>
      <c r="L316" s="30"/>
      <c r="M316" s="30"/>
      <c r="N316" s="30"/>
      <c r="O316" s="30"/>
      <c r="P316" s="30"/>
      <c r="Q316" s="30"/>
      <c r="R316" s="30"/>
      <c r="S316" s="30"/>
      <c r="T316" s="30"/>
      <c r="U316" s="30"/>
      <c r="V316" s="30"/>
      <c r="W316" s="30"/>
      <c r="X316" s="30"/>
      <c r="Y316" s="30"/>
      <c r="Z316" s="30"/>
      <c r="AA316" s="30"/>
      <c r="AB316" s="30"/>
      <c r="AC316" s="30"/>
    </row>
    <row r="317" ht="39.75" customHeight="1">
      <c r="A317" s="30"/>
      <c r="B317" s="31"/>
      <c r="C317" s="30"/>
      <c r="D317" s="30"/>
      <c r="E317" s="30"/>
      <c r="F317" s="30"/>
      <c r="G317" s="30"/>
      <c r="H317" s="30"/>
      <c r="I317" s="32"/>
      <c r="J317" s="30"/>
      <c r="K317" s="30"/>
      <c r="L317" s="30"/>
      <c r="M317" s="30"/>
      <c r="N317" s="30"/>
      <c r="O317" s="30"/>
      <c r="P317" s="30"/>
      <c r="Q317" s="30"/>
      <c r="R317" s="30"/>
      <c r="S317" s="30"/>
      <c r="T317" s="30"/>
      <c r="U317" s="30"/>
      <c r="V317" s="30"/>
      <c r="W317" s="30"/>
      <c r="X317" s="30"/>
      <c r="Y317" s="30"/>
      <c r="Z317" s="30"/>
      <c r="AA317" s="30"/>
      <c r="AB317" s="30"/>
      <c r="AC317" s="30"/>
    </row>
    <row r="318" ht="39.75" customHeight="1">
      <c r="A318" s="30"/>
      <c r="B318" s="31"/>
      <c r="C318" s="30"/>
      <c r="D318" s="30"/>
      <c r="E318" s="30"/>
      <c r="F318" s="30"/>
      <c r="G318" s="30"/>
      <c r="H318" s="30"/>
      <c r="I318" s="32"/>
      <c r="J318" s="30"/>
      <c r="K318" s="30"/>
      <c r="L318" s="30"/>
      <c r="M318" s="30"/>
      <c r="N318" s="30"/>
      <c r="O318" s="30"/>
      <c r="P318" s="30"/>
      <c r="Q318" s="30"/>
      <c r="R318" s="30"/>
      <c r="S318" s="30"/>
      <c r="T318" s="30"/>
      <c r="U318" s="30"/>
      <c r="V318" s="30"/>
      <c r="W318" s="30"/>
      <c r="X318" s="30"/>
      <c r="Y318" s="30"/>
      <c r="Z318" s="30"/>
      <c r="AA318" s="30"/>
      <c r="AB318" s="30"/>
      <c r="AC318" s="30"/>
    </row>
    <row r="319" ht="39.75" customHeight="1">
      <c r="A319" s="30"/>
      <c r="B319" s="31"/>
      <c r="C319" s="30"/>
      <c r="D319" s="30"/>
      <c r="E319" s="30"/>
      <c r="F319" s="30"/>
      <c r="G319" s="30"/>
      <c r="H319" s="30"/>
      <c r="I319" s="32"/>
      <c r="J319" s="30"/>
      <c r="K319" s="30"/>
      <c r="L319" s="30"/>
      <c r="M319" s="30"/>
      <c r="N319" s="30"/>
      <c r="O319" s="30"/>
      <c r="P319" s="30"/>
      <c r="Q319" s="30"/>
      <c r="R319" s="30"/>
      <c r="S319" s="30"/>
      <c r="T319" s="30"/>
      <c r="U319" s="30"/>
      <c r="V319" s="30"/>
      <c r="W319" s="30"/>
      <c r="X319" s="30"/>
      <c r="Y319" s="30"/>
      <c r="Z319" s="30"/>
      <c r="AA319" s="30"/>
      <c r="AB319" s="30"/>
      <c r="AC319" s="30"/>
    </row>
    <row r="320" ht="39.75" customHeight="1">
      <c r="A320" s="30"/>
      <c r="B320" s="31"/>
      <c r="C320" s="30"/>
      <c r="D320" s="30"/>
      <c r="E320" s="30"/>
      <c r="F320" s="30"/>
      <c r="G320" s="30"/>
      <c r="H320" s="30"/>
      <c r="I320" s="32"/>
      <c r="J320" s="30"/>
      <c r="K320" s="30"/>
      <c r="L320" s="30"/>
      <c r="M320" s="30"/>
      <c r="N320" s="30"/>
      <c r="O320" s="30"/>
      <c r="P320" s="30"/>
      <c r="Q320" s="30"/>
      <c r="R320" s="30"/>
      <c r="S320" s="30"/>
      <c r="T320" s="30"/>
      <c r="U320" s="30"/>
      <c r="V320" s="30"/>
      <c r="W320" s="30"/>
      <c r="X320" s="30"/>
      <c r="Y320" s="30"/>
      <c r="Z320" s="30"/>
      <c r="AA320" s="30"/>
      <c r="AB320" s="30"/>
      <c r="AC320" s="30"/>
    </row>
    <row r="321" ht="39.75" customHeight="1">
      <c r="A321" s="30"/>
      <c r="B321" s="31"/>
      <c r="C321" s="30"/>
      <c r="D321" s="30"/>
      <c r="E321" s="30"/>
      <c r="F321" s="30"/>
      <c r="G321" s="30"/>
      <c r="H321" s="30"/>
      <c r="I321" s="32"/>
      <c r="J321" s="30"/>
      <c r="K321" s="30"/>
      <c r="L321" s="30"/>
      <c r="M321" s="30"/>
      <c r="N321" s="30"/>
      <c r="O321" s="30"/>
      <c r="P321" s="30"/>
      <c r="Q321" s="30"/>
      <c r="R321" s="30"/>
      <c r="S321" s="30"/>
      <c r="T321" s="30"/>
      <c r="U321" s="30"/>
      <c r="V321" s="30"/>
      <c r="W321" s="30"/>
      <c r="X321" s="30"/>
      <c r="Y321" s="30"/>
      <c r="Z321" s="30"/>
      <c r="AA321" s="30"/>
      <c r="AB321" s="30"/>
      <c r="AC321" s="30"/>
    </row>
    <row r="322" ht="39.75" customHeight="1">
      <c r="A322" s="30"/>
      <c r="B322" s="31"/>
      <c r="C322" s="30"/>
      <c r="D322" s="30"/>
      <c r="E322" s="30"/>
      <c r="F322" s="30"/>
      <c r="G322" s="30"/>
      <c r="H322" s="30"/>
      <c r="I322" s="32"/>
      <c r="J322" s="30"/>
      <c r="K322" s="30"/>
      <c r="L322" s="30"/>
      <c r="M322" s="30"/>
      <c r="N322" s="30"/>
      <c r="O322" s="30"/>
      <c r="P322" s="30"/>
      <c r="Q322" s="30"/>
      <c r="R322" s="30"/>
      <c r="S322" s="30"/>
      <c r="T322" s="30"/>
      <c r="U322" s="30"/>
      <c r="V322" s="30"/>
      <c r="W322" s="30"/>
      <c r="X322" s="30"/>
      <c r="Y322" s="30"/>
      <c r="Z322" s="30"/>
      <c r="AA322" s="30"/>
      <c r="AB322" s="30"/>
      <c r="AC322" s="30"/>
    </row>
    <row r="323" ht="39.75" customHeight="1">
      <c r="A323" s="30"/>
      <c r="B323" s="31"/>
      <c r="C323" s="30"/>
      <c r="D323" s="30"/>
      <c r="E323" s="30"/>
      <c r="F323" s="30"/>
      <c r="G323" s="30"/>
      <c r="H323" s="30"/>
      <c r="I323" s="32"/>
      <c r="J323" s="30"/>
      <c r="K323" s="30"/>
      <c r="L323" s="30"/>
      <c r="M323" s="30"/>
      <c r="N323" s="30"/>
      <c r="O323" s="30"/>
      <c r="P323" s="30"/>
      <c r="Q323" s="30"/>
      <c r="R323" s="30"/>
      <c r="S323" s="30"/>
      <c r="T323" s="30"/>
      <c r="U323" s="30"/>
      <c r="V323" s="30"/>
      <c r="W323" s="30"/>
      <c r="X323" s="30"/>
      <c r="Y323" s="30"/>
      <c r="Z323" s="30"/>
      <c r="AA323" s="30"/>
      <c r="AB323" s="30"/>
      <c r="AC323" s="30"/>
    </row>
    <row r="324" ht="39.75" customHeight="1">
      <c r="A324" s="30"/>
      <c r="B324" s="31"/>
      <c r="C324" s="30"/>
      <c r="D324" s="30"/>
      <c r="E324" s="30"/>
      <c r="F324" s="30"/>
      <c r="G324" s="30"/>
      <c r="H324" s="30"/>
      <c r="I324" s="32"/>
      <c r="J324" s="30"/>
      <c r="K324" s="30"/>
      <c r="L324" s="30"/>
      <c r="M324" s="30"/>
      <c r="N324" s="30"/>
      <c r="O324" s="30"/>
      <c r="P324" s="30"/>
      <c r="Q324" s="30"/>
      <c r="R324" s="30"/>
      <c r="S324" s="30"/>
      <c r="T324" s="30"/>
      <c r="U324" s="30"/>
      <c r="V324" s="30"/>
      <c r="W324" s="30"/>
      <c r="X324" s="30"/>
      <c r="Y324" s="30"/>
      <c r="Z324" s="30"/>
      <c r="AA324" s="30"/>
      <c r="AB324" s="30"/>
      <c r="AC324" s="30"/>
    </row>
    <row r="325" ht="39.75" customHeight="1">
      <c r="A325" s="30"/>
      <c r="B325" s="31"/>
      <c r="C325" s="30"/>
      <c r="D325" s="30"/>
      <c r="E325" s="30"/>
      <c r="F325" s="30"/>
      <c r="G325" s="30"/>
      <c r="H325" s="30"/>
      <c r="I325" s="32"/>
      <c r="J325" s="30"/>
      <c r="K325" s="30"/>
      <c r="L325" s="30"/>
      <c r="M325" s="30"/>
      <c r="N325" s="30"/>
      <c r="O325" s="30"/>
      <c r="P325" s="30"/>
      <c r="Q325" s="30"/>
      <c r="R325" s="30"/>
      <c r="S325" s="30"/>
      <c r="T325" s="30"/>
      <c r="U325" s="30"/>
      <c r="V325" s="30"/>
      <c r="W325" s="30"/>
      <c r="X325" s="30"/>
      <c r="Y325" s="30"/>
      <c r="Z325" s="30"/>
      <c r="AA325" s="30"/>
      <c r="AB325" s="30"/>
      <c r="AC325" s="30"/>
    </row>
    <row r="326" ht="39.75" customHeight="1">
      <c r="A326" s="30"/>
      <c r="B326" s="31"/>
      <c r="C326" s="30"/>
      <c r="D326" s="30"/>
      <c r="E326" s="30"/>
      <c r="F326" s="30"/>
      <c r="G326" s="30"/>
      <c r="H326" s="30"/>
      <c r="I326" s="32"/>
      <c r="J326" s="30"/>
      <c r="K326" s="30"/>
      <c r="L326" s="30"/>
      <c r="M326" s="30"/>
      <c r="N326" s="30"/>
      <c r="O326" s="30"/>
      <c r="P326" s="30"/>
      <c r="Q326" s="30"/>
      <c r="R326" s="30"/>
      <c r="S326" s="30"/>
      <c r="T326" s="30"/>
      <c r="U326" s="30"/>
      <c r="V326" s="30"/>
      <c r="W326" s="30"/>
      <c r="X326" s="30"/>
      <c r="Y326" s="30"/>
      <c r="Z326" s="30"/>
      <c r="AA326" s="30"/>
      <c r="AB326" s="30"/>
      <c r="AC326" s="30"/>
    </row>
    <row r="327" ht="39.75" customHeight="1">
      <c r="A327" s="30"/>
      <c r="B327" s="31"/>
      <c r="C327" s="30"/>
      <c r="D327" s="30"/>
      <c r="E327" s="30"/>
      <c r="F327" s="30"/>
      <c r="G327" s="30"/>
      <c r="H327" s="30"/>
      <c r="I327" s="32"/>
      <c r="J327" s="30"/>
      <c r="K327" s="30"/>
      <c r="L327" s="30"/>
      <c r="M327" s="30"/>
      <c r="N327" s="30"/>
      <c r="O327" s="30"/>
      <c r="P327" s="30"/>
      <c r="Q327" s="30"/>
      <c r="R327" s="30"/>
      <c r="S327" s="30"/>
      <c r="T327" s="30"/>
      <c r="U327" s="30"/>
      <c r="V327" s="30"/>
      <c r="W327" s="30"/>
      <c r="X327" s="30"/>
      <c r="Y327" s="30"/>
      <c r="Z327" s="30"/>
      <c r="AA327" s="30"/>
      <c r="AB327" s="30"/>
      <c r="AC327" s="30"/>
    </row>
    <row r="328" ht="39.75" customHeight="1">
      <c r="A328" s="30"/>
      <c r="B328" s="31"/>
      <c r="C328" s="30"/>
      <c r="D328" s="30"/>
      <c r="E328" s="30"/>
      <c r="F328" s="30"/>
      <c r="G328" s="30"/>
      <c r="H328" s="30"/>
      <c r="I328" s="32"/>
      <c r="J328" s="30"/>
      <c r="K328" s="30"/>
      <c r="L328" s="30"/>
      <c r="M328" s="30"/>
      <c r="N328" s="30"/>
      <c r="O328" s="30"/>
      <c r="P328" s="30"/>
      <c r="Q328" s="30"/>
      <c r="R328" s="30"/>
      <c r="S328" s="30"/>
      <c r="T328" s="30"/>
      <c r="U328" s="30"/>
      <c r="V328" s="30"/>
      <c r="W328" s="30"/>
      <c r="X328" s="30"/>
      <c r="Y328" s="30"/>
      <c r="Z328" s="30"/>
      <c r="AA328" s="30"/>
      <c r="AB328" s="30"/>
      <c r="AC328" s="30"/>
    </row>
    <row r="329" ht="39.75" customHeight="1">
      <c r="A329" s="30"/>
      <c r="B329" s="31"/>
      <c r="C329" s="30"/>
      <c r="D329" s="30"/>
      <c r="E329" s="30"/>
      <c r="F329" s="30"/>
      <c r="G329" s="30"/>
      <c r="H329" s="30"/>
      <c r="I329" s="32"/>
      <c r="J329" s="30"/>
      <c r="K329" s="30"/>
      <c r="L329" s="30"/>
      <c r="M329" s="30"/>
      <c r="N329" s="30"/>
      <c r="O329" s="30"/>
      <c r="P329" s="30"/>
      <c r="Q329" s="30"/>
      <c r="R329" s="30"/>
      <c r="S329" s="30"/>
      <c r="T329" s="30"/>
      <c r="U329" s="30"/>
      <c r="V329" s="30"/>
      <c r="W329" s="30"/>
      <c r="X329" s="30"/>
      <c r="Y329" s="30"/>
      <c r="Z329" s="30"/>
      <c r="AA329" s="30"/>
      <c r="AB329" s="30"/>
      <c r="AC329" s="30"/>
    </row>
    <row r="330" ht="39.75" customHeight="1">
      <c r="A330" s="30"/>
      <c r="B330" s="31"/>
      <c r="C330" s="30"/>
      <c r="D330" s="30"/>
      <c r="E330" s="30"/>
      <c r="F330" s="30"/>
      <c r="G330" s="30"/>
      <c r="H330" s="30"/>
      <c r="I330" s="32"/>
      <c r="J330" s="30"/>
      <c r="K330" s="30"/>
      <c r="L330" s="30"/>
      <c r="M330" s="30"/>
      <c r="N330" s="30"/>
      <c r="O330" s="30"/>
      <c r="P330" s="30"/>
      <c r="Q330" s="30"/>
      <c r="R330" s="30"/>
      <c r="S330" s="30"/>
      <c r="T330" s="30"/>
      <c r="U330" s="30"/>
      <c r="V330" s="30"/>
      <c r="W330" s="30"/>
      <c r="X330" s="30"/>
      <c r="Y330" s="30"/>
      <c r="Z330" s="30"/>
      <c r="AA330" s="30"/>
      <c r="AB330" s="30"/>
      <c r="AC330" s="30"/>
    </row>
    <row r="331" ht="39.75" customHeight="1">
      <c r="A331" s="30"/>
      <c r="B331" s="31"/>
      <c r="C331" s="30"/>
      <c r="D331" s="30"/>
      <c r="E331" s="30"/>
      <c r="F331" s="30"/>
      <c r="G331" s="30"/>
      <c r="H331" s="30"/>
      <c r="I331" s="32"/>
      <c r="J331" s="30"/>
      <c r="K331" s="30"/>
      <c r="L331" s="30"/>
      <c r="M331" s="30"/>
      <c r="N331" s="30"/>
      <c r="O331" s="30"/>
      <c r="P331" s="30"/>
      <c r="Q331" s="30"/>
      <c r="R331" s="30"/>
      <c r="S331" s="30"/>
      <c r="T331" s="30"/>
      <c r="U331" s="30"/>
      <c r="V331" s="30"/>
      <c r="W331" s="30"/>
      <c r="X331" s="30"/>
      <c r="Y331" s="30"/>
      <c r="Z331" s="30"/>
      <c r="AA331" s="30"/>
      <c r="AB331" s="30"/>
      <c r="AC331" s="30"/>
    </row>
    <row r="332" ht="39.75" customHeight="1">
      <c r="A332" s="30"/>
      <c r="B332" s="31"/>
      <c r="C332" s="30"/>
      <c r="D332" s="30"/>
      <c r="E332" s="30"/>
      <c r="F332" s="30"/>
      <c r="G332" s="30"/>
      <c r="H332" s="30"/>
      <c r="I332" s="32"/>
      <c r="J332" s="30"/>
      <c r="K332" s="30"/>
      <c r="L332" s="30"/>
      <c r="M332" s="30"/>
      <c r="N332" s="30"/>
      <c r="O332" s="30"/>
      <c r="P332" s="30"/>
      <c r="Q332" s="30"/>
      <c r="R332" s="30"/>
      <c r="S332" s="30"/>
      <c r="T332" s="30"/>
      <c r="U332" s="30"/>
      <c r="V332" s="30"/>
      <c r="W332" s="30"/>
      <c r="X332" s="30"/>
      <c r="Y332" s="30"/>
      <c r="Z332" s="30"/>
      <c r="AA332" s="30"/>
      <c r="AB332" s="30"/>
      <c r="AC332" s="30"/>
    </row>
    <row r="333" ht="39.75" customHeight="1">
      <c r="A333" s="30"/>
      <c r="B333" s="31"/>
      <c r="C333" s="30"/>
      <c r="D333" s="30"/>
      <c r="E333" s="30"/>
      <c r="F333" s="30"/>
      <c r="G333" s="30"/>
      <c r="H333" s="30"/>
      <c r="I333" s="32"/>
      <c r="J333" s="30"/>
      <c r="K333" s="30"/>
      <c r="L333" s="30"/>
      <c r="M333" s="30"/>
      <c r="N333" s="30"/>
      <c r="O333" s="30"/>
      <c r="P333" s="30"/>
      <c r="Q333" s="30"/>
      <c r="R333" s="30"/>
      <c r="S333" s="30"/>
      <c r="T333" s="30"/>
      <c r="U333" s="30"/>
      <c r="V333" s="30"/>
      <c r="W333" s="30"/>
      <c r="X333" s="30"/>
      <c r="Y333" s="30"/>
      <c r="Z333" s="30"/>
      <c r="AA333" s="30"/>
      <c r="AB333" s="30"/>
      <c r="AC333" s="30"/>
    </row>
    <row r="334" ht="39.75" customHeight="1">
      <c r="A334" s="30"/>
      <c r="B334" s="31"/>
      <c r="C334" s="30"/>
      <c r="D334" s="30"/>
      <c r="E334" s="30"/>
      <c r="F334" s="30"/>
      <c r="G334" s="30"/>
      <c r="H334" s="30"/>
      <c r="I334" s="32"/>
      <c r="J334" s="30"/>
      <c r="K334" s="30"/>
      <c r="L334" s="30"/>
      <c r="M334" s="30"/>
      <c r="N334" s="30"/>
      <c r="O334" s="30"/>
      <c r="P334" s="30"/>
      <c r="Q334" s="30"/>
      <c r="R334" s="30"/>
      <c r="S334" s="30"/>
      <c r="T334" s="30"/>
      <c r="U334" s="30"/>
      <c r="V334" s="30"/>
      <c r="W334" s="30"/>
      <c r="X334" s="30"/>
      <c r="Y334" s="30"/>
      <c r="Z334" s="30"/>
      <c r="AA334" s="30"/>
      <c r="AB334" s="30"/>
      <c r="AC334" s="30"/>
    </row>
    <row r="335" ht="39.75" customHeight="1">
      <c r="A335" s="30"/>
      <c r="B335" s="31"/>
      <c r="C335" s="30"/>
      <c r="D335" s="30"/>
      <c r="E335" s="30"/>
      <c r="F335" s="30"/>
      <c r="G335" s="30"/>
      <c r="H335" s="30"/>
      <c r="I335" s="32"/>
      <c r="J335" s="30"/>
      <c r="K335" s="30"/>
      <c r="L335" s="30"/>
      <c r="M335" s="30"/>
      <c r="N335" s="30"/>
      <c r="O335" s="30"/>
      <c r="P335" s="30"/>
      <c r="Q335" s="30"/>
      <c r="R335" s="30"/>
      <c r="S335" s="30"/>
      <c r="T335" s="30"/>
      <c r="U335" s="30"/>
      <c r="V335" s="30"/>
      <c r="W335" s="30"/>
      <c r="X335" s="30"/>
      <c r="Y335" s="30"/>
      <c r="Z335" s="30"/>
      <c r="AA335" s="30"/>
      <c r="AB335" s="30"/>
      <c r="AC335" s="30"/>
    </row>
    <row r="336" ht="39.75" customHeight="1">
      <c r="A336" s="30"/>
      <c r="B336" s="31"/>
      <c r="C336" s="30"/>
      <c r="D336" s="30"/>
      <c r="E336" s="30"/>
      <c r="F336" s="30"/>
      <c r="G336" s="30"/>
      <c r="H336" s="30"/>
      <c r="I336" s="32"/>
      <c r="J336" s="30"/>
      <c r="K336" s="30"/>
      <c r="L336" s="30"/>
      <c r="M336" s="30"/>
      <c r="N336" s="30"/>
      <c r="O336" s="30"/>
      <c r="P336" s="30"/>
      <c r="Q336" s="30"/>
      <c r="R336" s="30"/>
      <c r="S336" s="30"/>
      <c r="T336" s="30"/>
      <c r="U336" s="30"/>
      <c r="V336" s="30"/>
      <c r="W336" s="30"/>
      <c r="X336" s="30"/>
      <c r="Y336" s="30"/>
      <c r="Z336" s="30"/>
      <c r="AA336" s="30"/>
      <c r="AB336" s="30"/>
      <c r="AC336" s="30"/>
    </row>
    <row r="337" ht="39.75" customHeight="1">
      <c r="A337" s="30"/>
      <c r="B337" s="31"/>
      <c r="C337" s="30"/>
      <c r="D337" s="30"/>
      <c r="E337" s="30"/>
      <c r="F337" s="30"/>
      <c r="G337" s="30"/>
      <c r="H337" s="30"/>
      <c r="I337" s="32"/>
      <c r="J337" s="30"/>
      <c r="K337" s="30"/>
      <c r="L337" s="30"/>
      <c r="M337" s="30"/>
      <c r="N337" s="30"/>
      <c r="O337" s="30"/>
      <c r="P337" s="30"/>
      <c r="Q337" s="30"/>
      <c r="R337" s="30"/>
      <c r="S337" s="30"/>
      <c r="T337" s="30"/>
      <c r="U337" s="30"/>
      <c r="V337" s="30"/>
      <c r="W337" s="30"/>
      <c r="X337" s="30"/>
      <c r="Y337" s="30"/>
      <c r="Z337" s="30"/>
      <c r="AA337" s="30"/>
      <c r="AB337" s="30"/>
      <c r="AC337" s="30"/>
    </row>
    <row r="338" ht="39.75" customHeight="1">
      <c r="A338" s="30"/>
      <c r="B338" s="31"/>
      <c r="C338" s="30"/>
      <c r="D338" s="30"/>
      <c r="E338" s="30"/>
      <c r="F338" s="30"/>
      <c r="G338" s="30"/>
      <c r="H338" s="30"/>
      <c r="I338" s="32"/>
      <c r="J338" s="30"/>
      <c r="K338" s="30"/>
      <c r="L338" s="30"/>
      <c r="M338" s="30"/>
      <c r="N338" s="30"/>
      <c r="O338" s="30"/>
      <c r="P338" s="30"/>
      <c r="Q338" s="30"/>
      <c r="R338" s="30"/>
      <c r="S338" s="30"/>
      <c r="T338" s="30"/>
      <c r="U338" s="30"/>
      <c r="V338" s="30"/>
      <c r="W338" s="30"/>
      <c r="X338" s="30"/>
      <c r="Y338" s="30"/>
      <c r="Z338" s="30"/>
      <c r="AA338" s="30"/>
      <c r="AB338" s="30"/>
      <c r="AC338" s="30"/>
    </row>
    <row r="339" ht="39.75" customHeight="1">
      <c r="A339" s="30"/>
      <c r="B339" s="31"/>
      <c r="C339" s="30"/>
      <c r="D339" s="30"/>
      <c r="E339" s="30"/>
      <c r="F339" s="30"/>
      <c r="G339" s="30"/>
      <c r="H339" s="30"/>
      <c r="I339" s="32"/>
      <c r="J339" s="30"/>
      <c r="K339" s="30"/>
      <c r="L339" s="30"/>
      <c r="M339" s="30"/>
      <c r="N339" s="30"/>
      <c r="O339" s="30"/>
      <c r="P339" s="30"/>
      <c r="Q339" s="30"/>
      <c r="R339" s="30"/>
      <c r="S339" s="30"/>
      <c r="T339" s="30"/>
      <c r="U339" s="30"/>
      <c r="V339" s="30"/>
      <c r="W339" s="30"/>
      <c r="X339" s="30"/>
      <c r="Y339" s="30"/>
      <c r="Z339" s="30"/>
      <c r="AA339" s="30"/>
      <c r="AB339" s="30"/>
      <c r="AC339" s="30"/>
    </row>
    <row r="340" ht="39.75" customHeight="1">
      <c r="A340" s="30"/>
      <c r="B340" s="31"/>
      <c r="C340" s="30"/>
      <c r="D340" s="30"/>
      <c r="E340" s="30"/>
      <c r="F340" s="30"/>
      <c r="G340" s="30"/>
      <c r="H340" s="30"/>
      <c r="I340" s="32"/>
      <c r="J340" s="30"/>
      <c r="K340" s="30"/>
      <c r="L340" s="30"/>
      <c r="M340" s="30"/>
      <c r="N340" s="30"/>
      <c r="O340" s="30"/>
      <c r="P340" s="30"/>
      <c r="Q340" s="30"/>
      <c r="R340" s="30"/>
      <c r="S340" s="30"/>
      <c r="T340" s="30"/>
      <c r="U340" s="30"/>
      <c r="V340" s="30"/>
      <c r="W340" s="30"/>
      <c r="X340" s="30"/>
      <c r="Y340" s="30"/>
      <c r="Z340" s="30"/>
      <c r="AA340" s="30"/>
      <c r="AB340" s="30"/>
      <c r="AC340" s="30"/>
    </row>
    <row r="341" ht="39.75" customHeight="1">
      <c r="A341" s="30"/>
      <c r="B341" s="31"/>
      <c r="C341" s="30"/>
      <c r="D341" s="30"/>
      <c r="E341" s="30"/>
      <c r="F341" s="30"/>
      <c r="G341" s="30"/>
      <c r="H341" s="30"/>
      <c r="I341" s="32"/>
      <c r="J341" s="30"/>
      <c r="K341" s="30"/>
      <c r="L341" s="30"/>
      <c r="M341" s="30"/>
      <c r="N341" s="30"/>
      <c r="O341" s="30"/>
      <c r="P341" s="30"/>
      <c r="Q341" s="30"/>
      <c r="R341" s="30"/>
      <c r="S341" s="30"/>
      <c r="T341" s="30"/>
      <c r="U341" s="30"/>
      <c r="V341" s="30"/>
      <c r="W341" s="30"/>
      <c r="X341" s="30"/>
      <c r="Y341" s="30"/>
      <c r="Z341" s="30"/>
      <c r="AA341" s="30"/>
      <c r="AB341" s="30"/>
      <c r="AC341" s="30"/>
    </row>
    <row r="342" ht="39.75" customHeight="1">
      <c r="A342" s="30"/>
      <c r="B342" s="31"/>
      <c r="C342" s="30"/>
      <c r="D342" s="30"/>
      <c r="E342" s="30"/>
      <c r="F342" s="30"/>
      <c r="G342" s="30"/>
      <c r="H342" s="30"/>
      <c r="I342" s="32"/>
      <c r="J342" s="30"/>
      <c r="K342" s="30"/>
      <c r="L342" s="30"/>
      <c r="M342" s="30"/>
      <c r="N342" s="30"/>
      <c r="O342" s="30"/>
      <c r="P342" s="30"/>
      <c r="Q342" s="30"/>
      <c r="R342" s="30"/>
      <c r="S342" s="30"/>
      <c r="T342" s="30"/>
      <c r="U342" s="30"/>
      <c r="V342" s="30"/>
      <c r="W342" s="30"/>
      <c r="X342" s="30"/>
      <c r="Y342" s="30"/>
      <c r="Z342" s="30"/>
      <c r="AA342" s="30"/>
      <c r="AB342" s="30"/>
      <c r="AC342" s="30"/>
    </row>
    <row r="343" ht="39.75" customHeight="1">
      <c r="A343" s="30"/>
      <c r="B343" s="31"/>
      <c r="C343" s="30"/>
      <c r="D343" s="30"/>
      <c r="E343" s="30"/>
      <c r="F343" s="30"/>
      <c r="G343" s="30"/>
      <c r="H343" s="30"/>
      <c r="I343" s="32"/>
      <c r="J343" s="30"/>
      <c r="K343" s="30"/>
      <c r="L343" s="30"/>
      <c r="M343" s="30"/>
      <c r="N343" s="30"/>
      <c r="O343" s="30"/>
      <c r="P343" s="30"/>
      <c r="Q343" s="30"/>
      <c r="R343" s="30"/>
      <c r="S343" s="30"/>
      <c r="T343" s="30"/>
      <c r="U343" s="30"/>
      <c r="V343" s="30"/>
      <c r="W343" s="30"/>
      <c r="X343" s="30"/>
      <c r="Y343" s="30"/>
      <c r="Z343" s="30"/>
      <c r="AA343" s="30"/>
      <c r="AB343" s="30"/>
      <c r="AC343" s="30"/>
    </row>
    <row r="344" ht="39.75" customHeight="1">
      <c r="A344" s="30"/>
      <c r="B344" s="31"/>
      <c r="C344" s="30"/>
      <c r="D344" s="30"/>
      <c r="E344" s="30"/>
      <c r="F344" s="30"/>
      <c r="G344" s="30"/>
      <c r="H344" s="30"/>
      <c r="I344" s="32"/>
      <c r="J344" s="30"/>
      <c r="K344" s="30"/>
      <c r="L344" s="30"/>
      <c r="M344" s="30"/>
      <c r="N344" s="30"/>
      <c r="O344" s="30"/>
      <c r="P344" s="30"/>
      <c r="Q344" s="30"/>
      <c r="R344" s="30"/>
      <c r="S344" s="30"/>
      <c r="T344" s="30"/>
      <c r="U344" s="30"/>
      <c r="V344" s="30"/>
      <c r="W344" s="30"/>
      <c r="X344" s="30"/>
      <c r="Y344" s="30"/>
      <c r="Z344" s="30"/>
      <c r="AA344" s="30"/>
      <c r="AB344" s="30"/>
      <c r="AC344" s="30"/>
    </row>
    <row r="345" ht="39.75" customHeight="1">
      <c r="A345" s="30"/>
      <c r="B345" s="31"/>
      <c r="C345" s="30"/>
      <c r="D345" s="30"/>
      <c r="E345" s="30"/>
      <c r="F345" s="30"/>
      <c r="G345" s="30"/>
      <c r="H345" s="30"/>
      <c r="I345" s="32"/>
      <c r="J345" s="30"/>
      <c r="K345" s="30"/>
      <c r="L345" s="30"/>
      <c r="M345" s="30"/>
      <c r="N345" s="30"/>
      <c r="O345" s="30"/>
      <c r="P345" s="30"/>
      <c r="Q345" s="30"/>
      <c r="R345" s="30"/>
      <c r="S345" s="30"/>
      <c r="T345" s="30"/>
      <c r="U345" s="30"/>
      <c r="V345" s="30"/>
      <c r="W345" s="30"/>
      <c r="X345" s="30"/>
      <c r="Y345" s="30"/>
      <c r="Z345" s="30"/>
      <c r="AA345" s="30"/>
      <c r="AB345" s="30"/>
      <c r="AC345" s="30"/>
    </row>
    <row r="346" ht="39.75" customHeight="1">
      <c r="A346" s="30"/>
      <c r="B346" s="31"/>
      <c r="C346" s="30"/>
      <c r="D346" s="30"/>
      <c r="E346" s="30"/>
      <c r="F346" s="30"/>
      <c r="G346" s="30"/>
      <c r="H346" s="30"/>
      <c r="I346" s="32"/>
      <c r="J346" s="30"/>
      <c r="K346" s="30"/>
      <c r="L346" s="30"/>
      <c r="M346" s="30"/>
      <c r="N346" s="30"/>
      <c r="O346" s="30"/>
      <c r="P346" s="30"/>
      <c r="Q346" s="30"/>
      <c r="R346" s="30"/>
      <c r="S346" s="30"/>
      <c r="T346" s="30"/>
      <c r="U346" s="30"/>
      <c r="V346" s="30"/>
      <c r="W346" s="30"/>
      <c r="X346" s="30"/>
      <c r="Y346" s="30"/>
      <c r="Z346" s="30"/>
      <c r="AA346" s="30"/>
      <c r="AB346" s="30"/>
      <c r="AC346" s="30"/>
    </row>
    <row r="347" ht="39.75" customHeight="1">
      <c r="A347" s="30"/>
      <c r="B347" s="31"/>
      <c r="C347" s="30"/>
      <c r="D347" s="30"/>
      <c r="E347" s="30"/>
      <c r="F347" s="30"/>
      <c r="G347" s="30"/>
      <c r="H347" s="30"/>
      <c r="I347" s="32"/>
      <c r="J347" s="30"/>
      <c r="K347" s="30"/>
      <c r="L347" s="30"/>
      <c r="M347" s="30"/>
      <c r="N347" s="30"/>
      <c r="O347" s="30"/>
      <c r="P347" s="30"/>
      <c r="Q347" s="30"/>
      <c r="R347" s="30"/>
      <c r="S347" s="30"/>
      <c r="T347" s="30"/>
      <c r="U347" s="30"/>
      <c r="V347" s="30"/>
      <c r="W347" s="30"/>
      <c r="X347" s="30"/>
      <c r="Y347" s="30"/>
      <c r="Z347" s="30"/>
      <c r="AA347" s="30"/>
      <c r="AB347" s="30"/>
      <c r="AC347" s="30"/>
    </row>
    <row r="348" ht="39.75" customHeight="1">
      <c r="A348" s="30"/>
      <c r="B348" s="31"/>
      <c r="C348" s="30"/>
      <c r="D348" s="30"/>
      <c r="E348" s="30"/>
      <c r="F348" s="30"/>
      <c r="G348" s="30"/>
      <c r="H348" s="30"/>
      <c r="I348" s="32"/>
      <c r="J348" s="30"/>
      <c r="K348" s="30"/>
      <c r="L348" s="30"/>
      <c r="M348" s="30"/>
      <c r="N348" s="30"/>
      <c r="O348" s="30"/>
      <c r="P348" s="30"/>
      <c r="Q348" s="30"/>
      <c r="R348" s="30"/>
      <c r="S348" s="30"/>
      <c r="T348" s="30"/>
      <c r="U348" s="30"/>
      <c r="V348" s="30"/>
      <c r="W348" s="30"/>
      <c r="X348" s="30"/>
      <c r="Y348" s="30"/>
      <c r="Z348" s="30"/>
      <c r="AA348" s="30"/>
      <c r="AB348" s="30"/>
      <c r="AC348" s="30"/>
    </row>
    <row r="349" ht="39.75" customHeight="1">
      <c r="A349" s="30"/>
      <c r="B349" s="31"/>
      <c r="C349" s="30"/>
      <c r="D349" s="30"/>
      <c r="E349" s="30"/>
      <c r="F349" s="30"/>
      <c r="G349" s="30"/>
      <c r="H349" s="30"/>
      <c r="I349" s="32"/>
      <c r="J349" s="30"/>
      <c r="K349" s="30"/>
      <c r="L349" s="30"/>
      <c r="M349" s="30"/>
      <c r="N349" s="30"/>
      <c r="O349" s="30"/>
      <c r="P349" s="30"/>
      <c r="Q349" s="30"/>
      <c r="R349" s="30"/>
      <c r="S349" s="30"/>
      <c r="T349" s="30"/>
      <c r="U349" s="30"/>
      <c r="V349" s="30"/>
      <c r="W349" s="30"/>
      <c r="X349" s="30"/>
      <c r="Y349" s="30"/>
      <c r="Z349" s="30"/>
      <c r="AA349" s="30"/>
      <c r="AB349" s="30"/>
      <c r="AC349" s="30"/>
    </row>
    <row r="350" ht="39.75" customHeight="1">
      <c r="A350" s="30"/>
      <c r="B350" s="31"/>
      <c r="C350" s="30"/>
      <c r="D350" s="30"/>
      <c r="E350" s="30"/>
      <c r="F350" s="30"/>
      <c r="G350" s="30"/>
      <c r="H350" s="30"/>
      <c r="I350" s="32"/>
      <c r="J350" s="30"/>
      <c r="K350" s="30"/>
      <c r="L350" s="30"/>
      <c r="M350" s="30"/>
      <c r="N350" s="30"/>
      <c r="O350" s="30"/>
      <c r="P350" s="30"/>
      <c r="Q350" s="30"/>
      <c r="R350" s="30"/>
      <c r="S350" s="30"/>
      <c r="T350" s="30"/>
      <c r="U350" s="30"/>
      <c r="V350" s="30"/>
      <c r="W350" s="30"/>
      <c r="X350" s="30"/>
      <c r="Y350" s="30"/>
      <c r="Z350" s="30"/>
      <c r="AA350" s="30"/>
      <c r="AB350" s="30"/>
      <c r="AC350" s="30"/>
    </row>
    <row r="351" ht="39.75" customHeight="1">
      <c r="A351" s="30"/>
      <c r="B351" s="31"/>
      <c r="C351" s="30"/>
      <c r="D351" s="30"/>
      <c r="E351" s="30"/>
      <c r="F351" s="30"/>
      <c r="G351" s="30"/>
      <c r="H351" s="30"/>
      <c r="I351" s="32"/>
      <c r="J351" s="30"/>
      <c r="K351" s="30"/>
      <c r="L351" s="30"/>
      <c r="M351" s="30"/>
      <c r="N351" s="30"/>
      <c r="O351" s="30"/>
      <c r="P351" s="30"/>
      <c r="Q351" s="30"/>
      <c r="R351" s="30"/>
      <c r="S351" s="30"/>
      <c r="T351" s="30"/>
      <c r="U351" s="30"/>
      <c r="V351" s="30"/>
      <c r="W351" s="30"/>
      <c r="X351" s="30"/>
      <c r="Y351" s="30"/>
      <c r="Z351" s="30"/>
      <c r="AA351" s="30"/>
      <c r="AB351" s="30"/>
      <c r="AC351" s="30"/>
    </row>
    <row r="352" ht="39.75" customHeight="1">
      <c r="A352" s="30"/>
      <c r="B352" s="31"/>
      <c r="C352" s="30"/>
      <c r="D352" s="30"/>
      <c r="E352" s="30"/>
      <c r="F352" s="30"/>
      <c r="G352" s="30"/>
      <c r="H352" s="30"/>
      <c r="I352" s="32"/>
      <c r="J352" s="30"/>
      <c r="K352" s="30"/>
      <c r="L352" s="30"/>
      <c r="M352" s="30"/>
      <c r="N352" s="30"/>
      <c r="O352" s="30"/>
      <c r="P352" s="30"/>
      <c r="Q352" s="30"/>
      <c r="R352" s="30"/>
      <c r="S352" s="30"/>
      <c r="T352" s="30"/>
      <c r="U352" s="30"/>
      <c r="V352" s="30"/>
      <c r="W352" s="30"/>
      <c r="X352" s="30"/>
      <c r="Y352" s="30"/>
      <c r="Z352" s="30"/>
      <c r="AA352" s="30"/>
      <c r="AB352" s="30"/>
      <c r="AC352" s="30"/>
    </row>
    <row r="353" ht="39.75" customHeight="1">
      <c r="A353" s="30"/>
      <c r="B353" s="31"/>
      <c r="C353" s="30"/>
      <c r="D353" s="30"/>
      <c r="E353" s="30"/>
      <c r="F353" s="30"/>
      <c r="G353" s="30"/>
      <c r="H353" s="30"/>
      <c r="I353" s="32"/>
      <c r="J353" s="30"/>
      <c r="K353" s="30"/>
      <c r="L353" s="30"/>
      <c r="M353" s="30"/>
      <c r="N353" s="30"/>
      <c r="O353" s="30"/>
      <c r="P353" s="30"/>
      <c r="Q353" s="30"/>
      <c r="R353" s="30"/>
      <c r="S353" s="30"/>
      <c r="T353" s="30"/>
      <c r="U353" s="30"/>
      <c r="V353" s="30"/>
      <c r="W353" s="30"/>
      <c r="X353" s="30"/>
      <c r="Y353" s="30"/>
      <c r="Z353" s="30"/>
      <c r="AA353" s="30"/>
      <c r="AB353" s="30"/>
      <c r="AC353" s="30"/>
    </row>
    <row r="354" ht="39.75" customHeight="1">
      <c r="A354" s="30"/>
      <c r="B354" s="31"/>
      <c r="C354" s="30"/>
      <c r="D354" s="30"/>
      <c r="E354" s="30"/>
      <c r="F354" s="30"/>
      <c r="G354" s="30"/>
      <c r="H354" s="30"/>
      <c r="I354" s="32"/>
      <c r="J354" s="30"/>
      <c r="K354" s="30"/>
      <c r="L354" s="30"/>
      <c r="M354" s="30"/>
      <c r="N354" s="30"/>
      <c r="O354" s="30"/>
      <c r="P354" s="30"/>
      <c r="Q354" s="30"/>
      <c r="R354" s="30"/>
      <c r="S354" s="30"/>
      <c r="T354" s="30"/>
      <c r="U354" s="30"/>
      <c r="V354" s="30"/>
      <c r="W354" s="30"/>
      <c r="X354" s="30"/>
      <c r="Y354" s="30"/>
      <c r="Z354" s="30"/>
      <c r="AA354" s="30"/>
      <c r="AB354" s="30"/>
      <c r="AC354" s="30"/>
    </row>
    <row r="355" ht="39.75" customHeight="1">
      <c r="A355" s="30"/>
      <c r="B355" s="31"/>
      <c r="C355" s="30"/>
      <c r="D355" s="30"/>
      <c r="E355" s="30"/>
      <c r="F355" s="30"/>
      <c r="G355" s="30"/>
      <c r="H355" s="30"/>
      <c r="I355" s="32"/>
      <c r="J355" s="30"/>
      <c r="K355" s="30"/>
      <c r="L355" s="30"/>
      <c r="M355" s="30"/>
      <c r="N355" s="30"/>
      <c r="O355" s="30"/>
      <c r="P355" s="30"/>
      <c r="Q355" s="30"/>
      <c r="R355" s="30"/>
      <c r="S355" s="30"/>
      <c r="T355" s="30"/>
      <c r="U355" s="30"/>
      <c r="V355" s="30"/>
      <c r="W355" s="30"/>
      <c r="X355" s="30"/>
      <c r="Y355" s="30"/>
      <c r="Z355" s="30"/>
      <c r="AA355" s="30"/>
      <c r="AB355" s="30"/>
      <c r="AC355" s="30"/>
    </row>
    <row r="356" ht="39.75" customHeight="1">
      <c r="A356" s="30"/>
      <c r="B356" s="31"/>
      <c r="C356" s="30"/>
      <c r="D356" s="30"/>
      <c r="E356" s="30"/>
      <c r="F356" s="30"/>
      <c r="G356" s="30"/>
      <c r="H356" s="30"/>
      <c r="I356" s="32"/>
      <c r="J356" s="30"/>
      <c r="K356" s="30"/>
      <c r="L356" s="30"/>
      <c r="M356" s="30"/>
      <c r="N356" s="30"/>
      <c r="O356" s="30"/>
      <c r="P356" s="30"/>
      <c r="Q356" s="30"/>
      <c r="R356" s="30"/>
      <c r="S356" s="30"/>
      <c r="T356" s="30"/>
      <c r="U356" s="30"/>
      <c r="V356" s="30"/>
      <c r="W356" s="30"/>
      <c r="X356" s="30"/>
      <c r="Y356" s="30"/>
      <c r="Z356" s="30"/>
      <c r="AA356" s="30"/>
      <c r="AB356" s="30"/>
      <c r="AC356" s="30"/>
    </row>
    <row r="357" ht="39.75" customHeight="1">
      <c r="A357" s="30"/>
      <c r="B357" s="31"/>
      <c r="C357" s="30"/>
      <c r="D357" s="30"/>
      <c r="E357" s="30"/>
      <c r="F357" s="30"/>
      <c r="G357" s="30"/>
      <c r="H357" s="30"/>
      <c r="I357" s="32"/>
      <c r="J357" s="30"/>
      <c r="K357" s="30"/>
      <c r="L357" s="30"/>
      <c r="M357" s="30"/>
      <c r="N357" s="30"/>
      <c r="O357" s="30"/>
      <c r="P357" s="30"/>
      <c r="Q357" s="30"/>
      <c r="R357" s="30"/>
      <c r="S357" s="30"/>
      <c r="T357" s="30"/>
      <c r="U357" s="30"/>
      <c r="V357" s="30"/>
      <c r="W357" s="30"/>
      <c r="X357" s="30"/>
      <c r="Y357" s="30"/>
      <c r="Z357" s="30"/>
      <c r="AA357" s="30"/>
      <c r="AB357" s="30"/>
      <c r="AC357" s="30"/>
    </row>
    <row r="358" ht="39.75" customHeight="1">
      <c r="A358" s="30"/>
      <c r="B358" s="31"/>
      <c r="C358" s="30"/>
      <c r="D358" s="30"/>
      <c r="E358" s="30"/>
      <c r="F358" s="30"/>
      <c r="G358" s="30"/>
      <c r="H358" s="30"/>
      <c r="I358" s="32"/>
      <c r="J358" s="30"/>
      <c r="K358" s="30"/>
      <c r="L358" s="30"/>
      <c r="M358" s="30"/>
      <c r="N358" s="30"/>
      <c r="O358" s="30"/>
      <c r="P358" s="30"/>
      <c r="Q358" s="30"/>
      <c r="R358" s="30"/>
      <c r="S358" s="30"/>
      <c r="T358" s="30"/>
      <c r="U358" s="30"/>
      <c r="V358" s="30"/>
      <c r="W358" s="30"/>
      <c r="X358" s="30"/>
      <c r="Y358" s="30"/>
      <c r="Z358" s="30"/>
      <c r="AA358" s="30"/>
      <c r="AB358" s="30"/>
      <c r="AC358" s="30"/>
    </row>
    <row r="359" ht="39.75" customHeight="1">
      <c r="A359" s="30"/>
      <c r="B359" s="31"/>
      <c r="C359" s="30"/>
      <c r="D359" s="30"/>
      <c r="E359" s="30"/>
      <c r="F359" s="30"/>
      <c r="G359" s="30"/>
      <c r="H359" s="30"/>
      <c r="I359" s="32"/>
      <c r="J359" s="30"/>
      <c r="K359" s="30"/>
      <c r="L359" s="30"/>
      <c r="M359" s="30"/>
      <c r="N359" s="30"/>
      <c r="O359" s="30"/>
      <c r="P359" s="30"/>
      <c r="Q359" s="30"/>
      <c r="R359" s="30"/>
      <c r="S359" s="30"/>
      <c r="T359" s="30"/>
      <c r="U359" s="30"/>
      <c r="V359" s="30"/>
      <c r="W359" s="30"/>
      <c r="X359" s="30"/>
      <c r="Y359" s="30"/>
      <c r="Z359" s="30"/>
      <c r="AA359" s="30"/>
      <c r="AB359" s="30"/>
      <c r="AC359" s="30"/>
    </row>
    <row r="360" ht="39.75" customHeight="1">
      <c r="A360" s="30"/>
      <c r="B360" s="31"/>
      <c r="C360" s="30"/>
      <c r="D360" s="30"/>
      <c r="E360" s="30"/>
      <c r="F360" s="30"/>
      <c r="G360" s="30"/>
      <c r="H360" s="30"/>
      <c r="I360" s="32"/>
      <c r="J360" s="30"/>
      <c r="K360" s="30"/>
      <c r="L360" s="30"/>
      <c r="M360" s="30"/>
      <c r="N360" s="30"/>
      <c r="O360" s="30"/>
      <c r="P360" s="30"/>
      <c r="Q360" s="30"/>
      <c r="R360" s="30"/>
      <c r="S360" s="30"/>
      <c r="T360" s="30"/>
      <c r="U360" s="30"/>
      <c r="V360" s="30"/>
      <c r="W360" s="30"/>
      <c r="X360" s="30"/>
      <c r="Y360" s="30"/>
      <c r="Z360" s="30"/>
      <c r="AA360" s="30"/>
      <c r="AB360" s="30"/>
      <c r="AC360" s="30"/>
    </row>
    <row r="361" ht="39.75" customHeight="1">
      <c r="A361" s="30"/>
      <c r="B361" s="31"/>
      <c r="C361" s="30"/>
      <c r="D361" s="30"/>
      <c r="E361" s="30"/>
      <c r="F361" s="30"/>
      <c r="G361" s="30"/>
      <c r="H361" s="30"/>
      <c r="I361" s="32"/>
      <c r="J361" s="30"/>
      <c r="K361" s="30"/>
      <c r="L361" s="30"/>
      <c r="M361" s="30"/>
      <c r="N361" s="30"/>
      <c r="O361" s="30"/>
      <c r="P361" s="30"/>
      <c r="Q361" s="30"/>
      <c r="R361" s="30"/>
      <c r="S361" s="30"/>
      <c r="T361" s="30"/>
      <c r="U361" s="30"/>
      <c r="V361" s="30"/>
      <c r="W361" s="30"/>
      <c r="X361" s="30"/>
      <c r="Y361" s="30"/>
      <c r="Z361" s="30"/>
      <c r="AA361" s="30"/>
      <c r="AB361" s="30"/>
      <c r="AC361" s="30"/>
    </row>
    <row r="362" ht="39.75" customHeight="1">
      <c r="A362" s="30"/>
      <c r="B362" s="31"/>
      <c r="C362" s="30"/>
      <c r="D362" s="30"/>
      <c r="E362" s="30"/>
      <c r="F362" s="30"/>
      <c r="G362" s="30"/>
      <c r="H362" s="30"/>
      <c r="I362" s="32"/>
      <c r="J362" s="30"/>
      <c r="K362" s="30"/>
      <c r="L362" s="30"/>
      <c r="M362" s="30"/>
      <c r="N362" s="30"/>
      <c r="O362" s="30"/>
      <c r="P362" s="30"/>
      <c r="Q362" s="30"/>
      <c r="R362" s="30"/>
      <c r="S362" s="30"/>
      <c r="T362" s="30"/>
      <c r="U362" s="30"/>
      <c r="V362" s="30"/>
      <c r="W362" s="30"/>
      <c r="X362" s="30"/>
      <c r="Y362" s="30"/>
      <c r="Z362" s="30"/>
      <c r="AA362" s="30"/>
      <c r="AB362" s="30"/>
      <c r="AC362" s="30"/>
    </row>
    <row r="363" ht="39.75" customHeight="1">
      <c r="A363" s="30"/>
      <c r="B363" s="31"/>
      <c r="C363" s="30"/>
      <c r="D363" s="30"/>
      <c r="E363" s="30"/>
      <c r="F363" s="30"/>
      <c r="G363" s="30"/>
      <c r="H363" s="30"/>
      <c r="I363" s="32"/>
      <c r="J363" s="30"/>
      <c r="K363" s="30"/>
      <c r="L363" s="30"/>
      <c r="M363" s="30"/>
      <c r="N363" s="30"/>
      <c r="O363" s="30"/>
      <c r="P363" s="30"/>
      <c r="Q363" s="30"/>
      <c r="R363" s="30"/>
      <c r="S363" s="30"/>
      <c r="T363" s="30"/>
      <c r="U363" s="30"/>
      <c r="V363" s="30"/>
      <c r="W363" s="30"/>
      <c r="X363" s="30"/>
      <c r="Y363" s="30"/>
      <c r="Z363" s="30"/>
      <c r="AA363" s="30"/>
      <c r="AB363" s="30"/>
      <c r="AC363" s="30"/>
    </row>
    <row r="364" ht="39.75" customHeight="1">
      <c r="A364" s="30"/>
      <c r="B364" s="31"/>
      <c r="C364" s="30"/>
      <c r="D364" s="30"/>
      <c r="E364" s="30"/>
      <c r="F364" s="30"/>
      <c r="G364" s="30"/>
      <c r="H364" s="30"/>
      <c r="I364" s="32"/>
      <c r="J364" s="30"/>
      <c r="K364" s="30"/>
      <c r="L364" s="30"/>
      <c r="M364" s="30"/>
      <c r="N364" s="30"/>
      <c r="O364" s="30"/>
      <c r="P364" s="30"/>
      <c r="Q364" s="30"/>
      <c r="R364" s="30"/>
      <c r="S364" s="30"/>
      <c r="T364" s="30"/>
      <c r="U364" s="30"/>
      <c r="V364" s="30"/>
      <c r="W364" s="30"/>
      <c r="X364" s="30"/>
      <c r="Y364" s="30"/>
      <c r="Z364" s="30"/>
      <c r="AA364" s="30"/>
      <c r="AB364" s="30"/>
      <c r="AC364" s="30"/>
    </row>
    <row r="365" ht="39.75" customHeight="1">
      <c r="A365" s="30"/>
      <c r="B365" s="31"/>
      <c r="C365" s="30"/>
      <c r="D365" s="30"/>
      <c r="E365" s="30"/>
      <c r="F365" s="30"/>
      <c r="G365" s="30"/>
      <c r="H365" s="30"/>
      <c r="I365" s="32"/>
      <c r="J365" s="30"/>
      <c r="K365" s="30"/>
      <c r="L365" s="30"/>
      <c r="M365" s="30"/>
      <c r="N365" s="30"/>
      <c r="O365" s="30"/>
      <c r="P365" s="30"/>
      <c r="Q365" s="30"/>
      <c r="R365" s="30"/>
      <c r="S365" s="30"/>
      <c r="T365" s="30"/>
      <c r="U365" s="30"/>
      <c r="V365" s="30"/>
      <c r="W365" s="30"/>
      <c r="X365" s="30"/>
      <c r="Y365" s="30"/>
      <c r="Z365" s="30"/>
      <c r="AA365" s="30"/>
      <c r="AB365" s="30"/>
      <c r="AC365" s="30"/>
    </row>
    <row r="366" ht="39.75" customHeight="1">
      <c r="A366" s="30"/>
      <c r="B366" s="31"/>
      <c r="C366" s="30"/>
      <c r="D366" s="30"/>
      <c r="E366" s="30"/>
      <c r="F366" s="30"/>
      <c r="G366" s="30"/>
      <c r="H366" s="30"/>
      <c r="I366" s="32"/>
      <c r="J366" s="30"/>
      <c r="K366" s="30"/>
      <c r="L366" s="30"/>
      <c r="M366" s="30"/>
      <c r="N366" s="30"/>
      <c r="O366" s="30"/>
      <c r="P366" s="30"/>
      <c r="Q366" s="30"/>
      <c r="R366" s="30"/>
      <c r="S366" s="30"/>
      <c r="T366" s="30"/>
      <c r="U366" s="30"/>
      <c r="V366" s="30"/>
      <c r="W366" s="30"/>
      <c r="X366" s="30"/>
      <c r="Y366" s="30"/>
      <c r="Z366" s="30"/>
      <c r="AA366" s="30"/>
      <c r="AB366" s="30"/>
      <c r="AC366" s="30"/>
    </row>
    <row r="367" ht="39.75" customHeight="1">
      <c r="A367" s="30"/>
      <c r="B367" s="31"/>
      <c r="C367" s="30"/>
      <c r="D367" s="30"/>
      <c r="E367" s="30"/>
      <c r="F367" s="30"/>
      <c r="G367" s="30"/>
      <c r="H367" s="30"/>
      <c r="I367" s="32"/>
      <c r="J367" s="30"/>
      <c r="K367" s="30"/>
      <c r="L367" s="30"/>
      <c r="M367" s="30"/>
      <c r="N367" s="30"/>
      <c r="O367" s="30"/>
      <c r="P367" s="30"/>
      <c r="Q367" s="30"/>
      <c r="R367" s="30"/>
      <c r="S367" s="30"/>
      <c r="T367" s="30"/>
      <c r="U367" s="30"/>
      <c r="V367" s="30"/>
      <c r="W367" s="30"/>
      <c r="X367" s="30"/>
      <c r="Y367" s="30"/>
      <c r="Z367" s="30"/>
      <c r="AA367" s="30"/>
      <c r="AB367" s="30"/>
      <c r="AC367" s="30"/>
    </row>
    <row r="368" ht="39.75" customHeight="1">
      <c r="A368" s="30"/>
      <c r="B368" s="31"/>
      <c r="C368" s="30"/>
      <c r="D368" s="30"/>
      <c r="E368" s="30"/>
      <c r="F368" s="30"/>
      <c r="G368" s="30"/>
      <c r="H368" s="30"/>
      <c r="I368" s="32"/>
      <c r="J368" s="30"/>
      <c r="K368" s="30"/>
      <c r="L368" s="30"/>
      <c r="M368" s="30"/>
      <c r="N368" s="30"/>
      <c r="O368" s="30"/>
      <c r="P368" s="30"/>
      <c r="Q368" s="30"/>
      <c r="R368" s="30"/>
      <c r="S368" s="30"/>
      <c r="T368" s="30"/>
      <c r="U368" s="30"/>
      <c r="V368" s="30"/>
      <c r="W368" s="30"/>
      <c r="X368" s="30"/>
      <c r="Y368" s="30"/>
      <c r="Z368" s="30"/>
      <c r="AA368" s="30"/>
      <c r="AB368" s="30"/>
      <c r="AC368" s="30"/>
    </row>
    <row r="369" ht="39.75" customHeight="1">
      <c r="A369" s="30"/>
      <c r="B369" s="31"/>
      <c r="C369" s="30"/>
      <c r="D369" s="30"/>
      <c r="E369" s="30"/>
      <c r="F369" s="30"/>
      <c r="G369" s="30"/>
      <c r="H369" s="30"/>
      <c r="I369" s="32"/>
      <c r="J369" s="30"/>
      <c r="K369" s="30"/>
      <c r="L369" s="30"/>
      <c r="M369" s="30"/>
      <c r="N369" s="30"/>
      <c r="O369" s="30"/>
      <c r="P369" s="30"/>
      <c r="Q369" s="30"/>
      <c r="R369" s="30"/>
      <c r="S369" s="30"/>
      <c r="T369" s="30"/>
      <c r="U369" s="30"/>
      <c r="V369" s="30"/>
      <c r="W369" s="30"/>
      <c r="X369" s="30"/>
      <c r="Y369" s="30"/>
      <c r="Z369" s="30"/>
      <c r="AA369" s="30"/>
      <c r="AB369" s="30"/>
      <c r="AC369" s="30"/>
    </row>
    <row r="370" ht="39.75" customHeight="1">
      <c r="A370" s="30"/>
      <c r="B370" s="31"/>
      <c r="C370" s="30"/>
      <c r="D370" s="30"/>
      <c r="E370" s="30"/>
      <c r="F370" s="30"/>
      <c r="G370" s="30"/>
      <c r="H370" s="30"/>
      <c r="I370" s="32"/>
      <c r="J370" s="30"/>
      <c r="K370" s="30"/>
      <c r="L370" s="30"/>
      <c r="M370" s="30"/>
      <c r="N370" s="30"/>
      <c r="O370" s="30"/>
      <c r="P370" s="30"/>
      <c r="Q370" s="30"/>
      <c r="R370" s="30"/>
      <c r="S370" s="30"/>
      <c r="T370" s="30"/>
      <c r="U370" s="30"/>
      <c r="V370" s="30"/>
      <c r="W370" s="30"/>
      <c r="X370" s="30"/>
      <c r="Y370" s="30"/>
      <c r="Z370" s="30"/>
      <c r="AA370" s="30"/>
      <c r="AB370" s="30"/>
      <c r="AC370" s="30"/>
    </row>
    <row r="371" ht="39.75" customHeight="1">
      <c r="A371" s="30"/>
      <c r="B371" s="31"/>
      <c r="C371" s="30"/>
      <c r="D371" s="30"/>
      <c r="E371" s="30"/>
      <c r="F371" s="30"/>
      <c r="G371" s="30"/>
      <c r="H371" s="30"/>
      <c r="I371" s="32"/>
      <c r="J371" s="30"/>
      <c r="K371" s="30"/>
      <c r="L371" s="30"/>
      <c r="M371" s="30"/>
      <c r="N371" s="30"/>
      <c r="O371" s="30"/>
      <c r="P371" s="30"/>
      <c r="Q371" s="30"/>
      <c r="R371" s="30"/>
      <c r="S371" s="30"/>
      <c r="T371" s="30"/>
      <c r="U371" s="30"/>
      <c r="V371" s="30"/>
      <c r="W371" s="30"/>
      <c r="X371" s="30"/>
      <c r="Y371" s="30"/>
      <c r="Z371" s="30"/>
      <c r="AA371" s="30"/>
      <c r="AB371" s="30"/>
      <c r="AC371" s="30"/>
    </row>
    <row r="372" ht="39.75" customHeight="1">
      <c r="A372" s="30"/>
      <c r="B372" s="31"/>
      <c r="C372" s="30"/>
      <c r="D372" s="30"/>
      <c r="E372" s="30"/>
      <c r="F372" s="30"/>
      <c r="G372" s="30"/>
      <c r="H372" s="30"/>
      <c r="I372" s="32"/>
      <c r="J372" s="30"/>
      <c r="K372" s="30"/>
      <c r="L372" s="30"/>
      <c r="M372" s="30"/>
      <c r="N372" s="30"/>
      <c r="O372" s="30"/>
      <c r="P372" s="30"/>
      <c r="Q372" s="30"/>
      <c r="R372" s="30"/>
      <c r="S372" s="30"/>
      <c r="T372" s="30"/>
      <c r="U372" s="30"/>
      <c r="V372" s="30"/>
      <c r="W372" s="30"/>
      <c r="X372" s="30"/>
      <c r="Y372" s="30"/>
      <c r="Z372" s="30"/>
      <c r="AA372" s="30"/>
      <c r="AB372" s="30"/>
      <c r="AC372" s="30"/>
    </row>
    <row r="373" ht="39.75" customHeight="1">
      <c r="A373" s="30"/>
      <c r="B373" s="31"/>
      <c r="C373" s="30"/>
      <c r="D373" s="30"/>
      <c r="E373" s="30"/>
      <c r="F373" s="30"/>
      <c r="G373" s="30"/>
      <c r="H373" s="30"/>
      <c r="I373" s="32"/>
      <c r="J373" s="30"/>
      <c r="K373" s="30"/>
      <c r="L373" s="30"/>
      <c r="M373" s="30"/>
      <c r="N373" s="30"/>
      <c r="O373" s="30"/>
      <c r="P373" s="30"/>
      <c r="Q373" s="30"/>
      <c r="R373" s="30"/>
      <c r="S373" s="30"/>
      <c r="T373" s="30"/>
      <c r="U373" s="30"/>
      <c r="V373" s="30"/>
      <c r="W373" s="30"/>
      <c r="X373" s="30"/>
      <c r="Y373" s="30"/>
      <c r="Z373" s="30"/>
      <c r="AA373" s="30"/>
      <c r="AB373" s="30"/>
      <c r="AC373" s="30"/>
    </row>
    <row r="374" ht="39.75" customHeight="1">
      <c r="A374" s="30"/>
      <c r="B374" s="31"/>
      <c r="C374" s="30"/>
      <c r="D374" s="30"/>
      <c r="E374" s="30"/>
      <c r="F374" s="30"/>
      <c r="G374" s="30"/>
      <c r="H374" s="30"/>
      <c r="I374" s="32"/>
      <c r="J374" s="30"/>
      <c r="K374" s="30"/>
      <c r="L374" s="30"/>
      <c r="M374" s="30"/>
      <c r="N374" s="30"/>
      <c r="O374" s="30"/>
      <c r="P374" s="30"/>
      <c r="Q374" s="30"/>
      <c r="R374" s="30"/>
      <c r="S374" s="30"/>
      <c r="T374" s="30"/>
      <c r="U374" s="30"/>
      <c r="V374" s="30"/>
      <c r="W374" s="30"/>
      <c r="X374" s="30"/>
      <c r="Y374" s="30"/>
      <c r="Z374" s="30"/>
      <c r="AA374" s="30"/>
      <c r="AB374" s="30"/>
      <c r="AC374" s="30"/>
    </row>
    <row r="375" ht="39.75" customHeight="1">
      <c r="A375" s="30"/>
      <c r="B375" s="31"/>
      <c r="C375" s="30"/>
      <c r="D375" s="30"/>
      <c r="E375" s="30"/>
      <c r="F375" s="30"/>
      <c r="G375" s="30"/>
      <c r="H375" s="30"/>
      <c r="I375" s="32"/>
      <c r="J375" s="30"/>
      <c r="K375" s="30"/>
      <c r="L375" s="30"/>
      <c r="M375" s="30"/>
      <c r="N375" s="30"/>
      <c r="O375" s="30"/>
      <c r="P375" s="30"/>
      <c r="Q375" s="30"/>
      <c r="R375" s="30"/>
      <c r="S375" s="30"/>
      <c r="T375" s="30"/>
      <c r="U375" s="30"/>
      <c r="V375" s="30"/>
      <c r="W375" s="30"/>
      <c r="X375" s="30"/>
      <c r="Y375" s="30"/>
      <c r="Z375" s="30"/>
      <c r="AA375" s="30"/>
      <c r="AB375" s="30"/>
      <c r="AC375" s="30"/>
    </row>
    <row r="376" ht="39.75" customHeight="1">
      <c r="A376" s="30"/>
      <c r="B376" s="31"/>
      <c r="C376" s="30"/>
      <c r="D376" s="30"/>
      <c r="E376" s="30"/>
      <c r="F376" s="30"/>
      <c r="G376" s="30"/>
      <c r="H376" s="30"/>
      <c r="I376" s="32"/>
      <c r="J376" s="30"/>
      <c r="K376" s="30"/>
      <c r="L376" s="30"/>
      <c r="M376" s="30"/>
      <c r="N376" s="30"/>
      <c r="O376" s="30"/>
      <c r="P376" s="30"/>
      <c r="Q376" s="30"/>
      <c r="R376" s="30"/>
      <c r="S376" s="30"/>
      <c r="T376" s="30"/>
      <c r="U376" s="30"/>
      <c r="V376" s="30"/>
      <c r="W376" s="30"/>
      <c r="X376" s="30"/>
      <c r="Y376" s="30"/>
      <c r="Z376" s="30"/>
      <c r="AA376" s="30"/>
      <c r="AB376" s="30"/>
      <c r="AC376" s="30"/>
    </row>
    <row r="377" ht="39.75" customHeight="1">
      <c r="A377" s="30"/>
      <c r="B377" s="31"/>
      <c r="C377" s="30"/>
      <c r="D377" s="30"/>
      <c r="E377" s="30"/>
      <c r="F377" s="30"/>
      <c r="G377" s="30"/>
      <c r="H377" s="30"/>
      <c r="I377" s="32"/>
      <c r="J377" s="30"/>
      <c r="K377" s="30"/>
      <c r="L377" s="30"/>
      <c r="M377" s="30"/>
      <c r="N377" s="30"/>
      <c r="O377" s="30"/>
      <c r="P377" s="30"/>
      <c r="Q377" s="30"/>
      <c r="R377" s="30"/>
      <c r="S377" s="30"/>
      <c r="T377" s="30"/>
      <c r="U377" s="30"/>
      <c r="V377" s="30"/>
      <c r="W377" s="30"/>
      <c r="X377" s="30"/>
      <c r="Y377" s="30"/>
      <c r="Z377" s="30"/>
      <c r="AA377" s="30"/>
      <c r="AB377" s="30"/>
      <c r="AC377" s="30"/>
    </row>
    <row r="378" ht="39.75" customHeight="1">
      <c r="A378" s="30"/>
      <c r="B378" s="31"/>
      <c r="C378" s="30"/>
      <c r="D378" s="30"/>
      <c r="E378" s="30"/>
      <c r="F378" s="30"/>
      <c r="G378" s="30"/>
      <c r="H378" s="30"/>
      <c r="I378" s="32"/>
      <c r="J378" s="30"/>
      <c r="K378" s="30"/>
      <c r="L378" s="30"/>
      <c r="M378" s="30"/>
      <c r="N378" s="30"/>
      <c r="O378" s="30"/>
      <c r="P378" s="30"/>
      <c r="Q378" s="30"/>
      <c r="R378" s="30"/>
      <c r="S378" s="30"/>
      <c r="T378" s="30"/>
      <c r="U378" s="30"/>
      <c r="V378" s="30"/>
      <c r="W378" s="30"/>
      <c r="X378" s="30"/>
      <c r="Y378" s="30"/>
      <c r="Z378" s="30"/>
      <c r="AA378" s="30"/>
      <c r="AB378" s="30"/>
      <c r="AC378" s="30"/>
    </row>
    <row r="379" ht="39.75" customHeight="1">
      <c r="A379" s="30"/>
      <c r="B379" s="31"/>
      <c r="C379" s="30"/>
      <c r="D379" s="30"/>
      <c r="E379" s="30"/>
      <c r="F379" s="30"/>
      <c r="G379" s="30"/>
      <c r="H379" s="30"/>
      <c r="I379" s="32"/>
      <c r="J379" s="30"/>
      <c r="K379" s="30"/>
      <c r="L379" s="30"/>
      <c r="M379" s="30"/>
      <c r="N379" s="30"/>
      <c r="O379" s="30"/>
      <c r="P379" s="30"/>
      <c r="Q379" s="30"/>
      <c r="R379" s="30"/>
      <c r="S379" s="30"/>
      <c r="T379" s="30"/>
      <c r="U379" s="30"/>
      <c r="V379" s="30"/>
      <c r="W379" s="30"/>
      <c r="X379" s="30"/>
      <c r="Y379" s="30"/>
      <c r="Z379" s="30"/>
      <c r="AA379" s="30"/>
      <c r="AB379" s="30"/>
      <c r="AC379" s="30"/>
    </row>
    <row r="380" ht="39.75" customHeight="1">
      <c r="A380" s="30"/>
      <c r="B380" s="31"/>
      <c r="C380" s="30"/>
      <c r="D380" s="30"/>
      <c r="E380" s="30"/>
      <c r="F380" s="30"/>
      <c r="G380" s="30"/>
      <c r="H380" s="30"/>
      <c r="I380" s="32"/>
      <c r="J380" s="30"/>
      <c r="K380" s="30"/>
      <c r="L380" s="30"/>
      <c r="M380" s="30"/>
      <c r="N380" s="30"/>
      <c r="O380" s="30"/>
      <c r="P380" s="30"/>
      <c r="Q380" s="30"/>
      <c r="R380" s="30"/>
      <c r="S380" s="30"/>
      <c r="T380" s="30"/>
      <c r="U380" s="30"/>
      <c r="V380" s="30"/>
      <c r="W380" s="30"/>
      <c r="X380" s="30"/>
      <c r="Y380" s="30"/>
      <c r="Z380" s="30"/>
      <c r="AA380" s="30"/>
      <c r="AB380" s="30"/>
      <c r="AC380" s="30"/>
    </row>
    <row r="381" ht="39.75" customHeight="1">
      <c r="A381" s="30"/>
      <c r="B381" s="31"/>
      <c r="C381" s="30"/>
      <c r="D381" s="30"/>
      <c r="E381" s="30"/>
      <c r="F381" s="30"/>
      <c r="G381" s="30"/>
      <c r="H381" s="30"/>
      <c r="I381" s="32"/>
      <c r="J381" s="30"/>
      <c r="K381" s="30"/>
      <c r="L381" s="30"/>
      <c r="M381" s="30"/>
      <c r="N381" s="30"/>
      <c r="O381" s="30"/>
      <c r="P381" s="30"/>
      <c r="Q381" s="30"/>
      <c r="R381" s="30"/>
      <c r="S381" s="30"/>
      <c r="T381" s="30"/>
      <c r="U381" s="30"/>
      <c r="V381" s="30"/>
      <c r="W381" s="30"/>
      <c r="X381" s="30"/>
      <c r="Y381" s="30"/>
      <c r="Z381" s="30"/>
      <c r="AA381" s="30"/>
      <c r="AB381" s="30"/>
      <c r="AC381" s="30"/>
    </row>
    <row r="382" ht="39.75" customHeight="1">
      <c r="A382" s="30"/>
      <c r="B382" s="31"/>
      <c r="C382" s="30"/>
      <c r="D382" s="30"/>
      <c r="E382" s="30"/>
      <c r="F382" s="30"/>
      <c r="G382" s="30"/>
      <c r="H382" s="30"/>
      <c r="I382" s="32"/>
      <c r="J382" s="30"/>
      <c r="K382" s="30"/>
      <c r="L382" s="30"/>
      <c r="M382" s="30"/>
      <c r="N382" s="30"/>
      <c r="O382" s="30"/>
      <c r="P382" s="30"/>
      <c r="Q382" s="30"/>
      <c r="R382" s="30"/>
      <c r="S382" s="30"/>
      <c r="T382" s="30"/>
      <c r="U382" s="30"/>
      <c r="V382" s="30"/>
      <c r="W382" s="30"/>
      <c r="X382" s="30"/>
      <c r="Y382" s="30"/>
      <c r="Z382" s="30"/>
      <c r="AA382" s="30"/>
      <c r="AB382" s="30"/>
      <c r="AC382" s="30"/>
    </row>
    <row r="383" ht="39.75" customHeight="1">
      <c r="A383" s="30"/>
      <c r="B383" s="31"/>
      <c r="C383" s="30"/>
      <c r="D383" s="30"/>
      <c r="E383" s="30"/>
      <c r="F383" s="30"/>
      <c r="G383" s="30"/>
      <c r="H383" s="30"/>
      <c r="I383" s="32"/>
      <c r="J383" s="30"/>
      <c r="K383" s="30"/>
      <c r="L383" s="30"/>
      <c r="M383" s="30"/>
      <c r="N383" s="30"/>
      <c r="O383" s="30"/>
      <c r="P383" s="30"/>
      <c r="Q383" s="30"/>
      <c r="R383" s="30"/>
      <c r="S383" s="30"/>
      <c r="T383" s="30"/>
      <c r="U383" s="30"/>
      <c r="V383" s="30"/>
      <c r="W383" s="30"/>
      <c r="X383" s="30"/>
      <c r="Y383" s="30"/>
      <c r="Z383" s="30"/>
      <c r="AA383" s="30"/>
      <c r="AB383" s="30"/>
      <c r="AC383" s="30"/>
    </row>
    <row r="384" ht="39.75" customHeight="1">
      <c r="A384" s="30"/>
      <c r="B384" s="31"/>
      <c r="C384" s="30"/>
      <c r="D384" s="30"/>
      <c r="E384" s="30"/>
      <c r="F384" s="30"/>
      <c r="G384" s="30"/>
      <c r="H384" s="30"/>
      <c r="I384" s="32"/>
      <c r="J384" s="30"/>
      <c r="K384" s="30"/>
      <c r="L384" s="30"/>
      <c r="M384" s="30"/>
      <c r="N384" s="30"/>
      <c r="O384" s="30"/>
      <c r="P384" s="30"/>
      <c r="Q384" s="30"/>
      <c r="R384" s="30"/>
      <c r="S384" s="30"/>
      <c r="T384" s="30"/>
      <c r="U384" s="30"/>
      <c r="V384" s="30"/>
      <c r="W384" s="30"/>
      <c r="X384" s="30"/>
      <c r="Y384" s="30"/>
      <c r="Z384" s="30"/>
      <c r="AA384" s="30"/>
      <c r="AB384" s="30"/>
      <c r="AC384" s="30"/>
    </row>
    <row r="385" ht="39.75" customHeight="1">
      <c r="A385" s="30"/>
      <c r="B385" s="31"/>
      <c r="C385" s="30"/>
      <c r="D385" s="30"/>
      <c r="E385" s="30"/>
      <c r="F385" s="30"/>
      <c r="G385" s="30"/>
      <c r="H385" s="30"/>
      <c r="I385" s="32"/>
      <c r="J385" s="30"/>
      <c r="K385" s="30"/>
      <c r="L385" s="30"/>
      <c r="M385" s="30"/>
      <c r="N385" s="30"/>
      <c r="O385" s="30"/>
      <c r="P385" s="30"/>
      <c r="Q385" s="30"/>
      <c r="R385" s="30"/>
      <c r="S385" s="30"/>
      <c r="T385" s="30"/>
      <c r="U385" s="30"/>
      <c r="V385" s="30"/>
      <c r="W385" s="30"/>
      <c r="X385" s="30"/>
      <c r="Y385" s="30"/>
      <c r="Z385" s="30"/>
      <c r="AA385" s="30"/>
      <c r="AB385" s="30"/>
      <c r="AC385" s="30"/>
    </row>
    <row r="386" ht="39.75" customHeight="1">
      <c r="A386" s="30"/>
      <c r="B386" s="31"/>
      <c r="C386" s="30"/>
      <c r="D386" s="30"/>
      <c r="E386" s="30"/>
      <c r="F386" s="30"/>
      <c r="G386" s="30"/>
      <c r="H386" s="30"/>
      <c r="I386" s="32"/>
      <c r="J386" s="30"/>
      <c r="K386" s="30"/>
      <c r="L386" s="30"/>
      <c r="M386" s="30"/>
      <c r="N386" s="30"/>
      <c r="O386" s="30"/>
      <c r="P386" s="30"/>
      <c r="Q386" s="30"/>
      <c r="R386" s="30"/>
      <c r="S386" s="30"/>
      <c r="T386" s="30"/>
      <c r="U386" s="30"/>
      <c r="V386" s="30"/>
      <c r="W386" s="30"/>
      <c r="X386" s="30"/>
      <c r="Y386" s="30"/>
      <c r="Z386" s="30"/>
      <c r="AA386" s="30"/>
      <c r="AB386" s="30"/>
      <c r="AC386" s="30"/>
    </row>
    <row r="387" ht="39.75" customHeight="1">
      <c r="A387" s="30"/>
      <c r="B387" s="31"/>
      <c r="C387" s="30"/>
      <c r="D387" s="30"/>
      <c r="E387" s="30"/>
      <c r="F387" s="30"/>
      <c r="G387" s="30"/>
      <c r="H387" s="30"/>
      <c r="I387" s="32"/>
      <c r="J387" s="30"/>
      <c r="K387" s="30"/>
      <c r="L387" s="30"/>
      <c r="M387" s="30"/>
      <c r="N387" s="30"/>
      <c r="O387" s="30"/>
      <c r="P387" s="30"/>
      <c r="Q387" s="30"/>
      <c r="R387" s="30"/>
      <c r="S387" s="30"/>
      <c r="T387" s="30"/>
      <c r="U387" s="30"/>
      <c r="V387" s="30"/>
      <c r="W387" s="30"/>
      <c r="X387" s="30"/>
      <c r="Y387" s="30"/>
      <c r="Z387" s="30"/>
      <c r="AA387" s="30"/>
      <c r="AB387" s="30"/>
      <c r="AC387" s="30"/>
    </row>
    <row r="388" ht="39.75" customHeight="1">
      <c r="A388" s="30"/>
      <c r="B388" s="31"/>
      <c r="C388" s="30"/>
      <c r="D388" s="30"/>
      <c r="E388" s="30"/>
      <c r="F388" s="30"/>
      <c r="G388" s="30"/>
      <c r="H388" s="30"/>
      <c r="I388" s="32"/>
      <c r="J388" s="30"/>
      <c r="K388" s="30"/>
      <c r="L388" s="30"/>
      <c r="M388" s="30"/>
      <c r="N388" s="30"/>
      <c r="O388" s="30"/>
      <c r="P388" s="30"/>
      <c r="Q388" s="30"/>
      <c r="R388" s="30"/>
      <c r="S388" s="30"/>
      <c r="T388" s="30"/>
      <c r="U388" s="30"/>
      <c r="V388" s="30"/>
      <c r="W388" s="30"/>
      <c r="X388" s="30"/>
      <c r="Y388" s="30"/>
      <c r="Z388" s="30"/>
      <c r="AA388" s="30"/>
      <c r="AB388" s="30"/>
      <c r="AC388" s="30"/>
    </row>
    <row r="389" ht="39.75" customHeight="1">
      <c r="A389" s="30"/>
      <c r="B389" s="31"/>
      <c r="C389" s="30"/>
      <c r="D389" s="30"/>
      <c r="E389" s="30"/>
      <c r="F389" s="30"/>
      <c r="G389" s="30"/>
      <c r="H389" s="30"/>
      <c r="I389" s="32"/>
      <c r="J389" s="30"/>
      <c r="K389" s="30"/>
      <c r="L389" s="30"/>
      <c r="M389" s="30"/>
      <c r="N389" s="30"/>
      <c r="O389" s="30"/>
      <c r="P389" s="30"/>
      <c r="Q389" s="30"/>
      <c r="R389" s="30"/>
      <c r="S389" s="30"/>
      <c r="T389" s="30"/>
      <c r="U389" s="30"/>
      <c r="V389" s="30"/>
      <c r="W389" s="30"/>
      <c r="X389" s="30"/>
      <c r="Y389" s="30"/>
      <c r="Z389" s="30"/>
      <c r="AA389" s="30"/>
      <c r="AB389" s="30"/>
      <c r="AC389" s="30"/>
    </row>
    <row r="390" ht="39.75" customHeight="1">
      <c r="A390" s="30"/>
      <c r="B390" s="31"/>
      <c r="C390" s="30"/>
      <c r="D390" s="30"/>
      <c r="E390" s="30"/>
      <c r="F390" s="30"/>
      <c r="G390" s="30"/>
      <c r="H390" s="30"/>
      <c r="I390" s="32"/>
      <c r="J390" s="30"/>
      <c r="K390" s="30"/>
      <c r="L390" s="30"/>
      <c r="M390" s="30"/>
      <c r="N390" s="30"/>
      <c r="O390" s="30"/>
      <c r="P390" s="30"/>
      <c r="Q390" s="30"/>
      <c r="R390" s="30"/>
      <c r="S390" s="30"/>
      <c r="T390" s="30"/>
      <c r="U390" s="30"/>
      <c r="V390" s="30"/>
      <c r="W390" s="30"/>
      <c r="X390" s="30"/>
      <c r="Y390" s="30"/>
      <c r="Z390" s="30"/>
      <c r="AA390" s="30"/>
      <c r="AB390" s="30"/>
      <c r="AC390" s="30"/>
    </row>
    <row r="391" ht="39.75" customHeight="1">
      <c r="A391" s="30"/>
      <c r="B391" s="31"/>
      <c r="C391" s="30"/>
      <c r="D391" s="30"/>
      <c r="E391" s="30"/>
      <c r="F391" s="30"/>
      <c r="G391" s="30"/>
      <c r="H391" s="30"/>
      <c r="I391" s="32"/>
      <c r="J391" s="30"/>
      <c r="K391" s="30"/>
      <c r="L391" s="30"/>
      <c r="M391" s="30"/>
      <c r="N391" s="30"/>
      <c r="O391" s="30"/>
      <c r="P391" s="30"/>
      <c r="Q391" s="30"/>
      <c r="R391" s="30"/>
      <c r="S391" s="30"/>
      <c r="T391" s="30"/>
      <c r="U391" s="30"/>
      <c r="V391" s="30"/>
      <c r="W391" s="30"/>
      <c r="X391" s="30"/>
      <c r="Y391" s="30"/>
      <c r="Z391" s="30"/>
      <c r="AA391" s="30"/>
      <c r="AB391" s="30"/>
      <c r="AC391" s="30"/>
    </row>
    <row r="392" ht="39.75" customHeight="1">
      <c r="A392" s="30"/>
      <c r="B392" s="31"/>
      <c r="C392" s="30"/>
      <c r="D392" s="30"/>
      <c r="E392" s="30"/>
      <c r="F392" s="30"/>
      <c r="G392" s="30"/>
      <c r="H392" s="30"/>
      <c r="I392" s="32"/>
      <c r="J392" s="30"/>
      <c r="K392" s="30"/>
      <c r="L392" s="30"/>
      <c r="M392" s="30"/>
      <c r="N392" s="30"/>
      <c r="O392" s="30"/>
      <c r="P392" s="30"/>
      <c r="Q392" s="30"/>
      <c r="R392" s="30"/>
      <c r="S392" s="30"/>
      <c r="T392" s="30"/>
      <c r="U392" s="30"/>
      <c r="V392" s="30"/>
      <c r="W392" s="30"/>
      <c r="X392" s="30"/>
      <c r="Y392" s="30"/>
      <c r="Z392" s="30"/>
      <c r="AA392" s="30"/>
      <c r="AB392" s="30"/>
      <c r="AC392" s="30"/>
    </row>
    <row r="393" ht="39.75" customHeight="1">
      <c r="A393" s="30"/>
      <c r="B393" s="31"/>
      <c r="C393" s="30"/>
      <c r="D393" s="30"/>
      <c r="E393" s="30"/>
      <c r="F393" s="30"/>
      <c r="G393" s="30"/>
      <c r="H393" s="30"/>
      <c r="I393" s="32"/>
      <c r="J393" s="30"/>
      <c r="K393" s="30"/>
      <c r="L393" s="30"/>
      <c r="M393" s="30"/>
      <c r="N393" s="30"/>
      <c r="O393" s="30"/>
      <c r="P393" s="30"/>
      <c r="Q393" s="30"/>
      <c r="R393" s="30"/>
      <c r="S393" s="30"/>
      <c r="T393" s="30"/>
      <c r="U393" s="30"/>
      <c r="V393" s="30"/>
      <c r="W393" s="30"/>
      <c r="X393" s="30"/>
      <c r="Y393" s="30"/>
      <c r="Z393" s="30"/>
      <c r="AA393" s="30"/>
      <c r="AB393" s="30"/>
      <c r="AC393" s="30"/>
    </row>
    <row r="394" ht="39.75" customHeight="1">
      <c r="A394" s="30"/>
      <c r="B394" s="31"/>
      <c r="C394" s="30"/>
      <c r="D394" s="30"/>
      <c r="E394" s="30"/>
      <c r="F394" s="30"/>
      <c r="G394" s="30"/>
      <c r="H394" s="30"/>
      <c r="I394" s="32"/>
      <c r="J394" s="30"/>
      <c r="K394" s="30"/>
      <c r="L394" s="30"/>
      <c r="M394" s="30"/>
      <c r="N394" s="30"/>
      <c r="O394" s="30"/>
      <c r="P394" s="30"/>
      <c r="Q394" s="30"/>
      <c r="R394" s="30"/>
      <c r="S394" s="30"/>
      <c r="T394" s="30"/>
      <c r="U394" s="30"/>
      <c r="V394" s="30"/>
      <c r="W394" s="30"/>
      <c r="X394" s="30"/>
      <c r="Y394" s="30"/>
      <c r="Z394" s="30"/>
      <c r="AA394" s="30"/>
      <c r="AB394" s="30"/>
      <c r="AC394" s="30"/>
    </row>
    <row r="395" ht="39.75" customHeight="1">
      <c r="A395" s="30"/>
      <c r="B395" s="31"/>
      <c r="C395" s="30"/>
      <c r="D395" s="30"/>
      <c r="E395" s="30"/>
      <c r="F395" s="30"/>
      <c r="G395" s="30"/>
      <c r="H395" s="30"/>
      <c r="I395" s="32"/>
      <c r="J395" s="30"/>
      <c r="K395" s="30"/>
      <c r="L395" s="30"/>
      <c r="M395" s="30"/>
      <c r="N395" s="30"/>
      <c r="O395" s="30"/>
      <c r="P395" s="30"/>
      <c r="Q395" s="30"/>
      <c r="R395" s="30"/>
      <c r="S395" s="30"/>
      <c r="T395" s="30"/>
      <c r="U395" s="30"/>
      <c r="V395" s="30"/>
      <c r="W395" s="30"/>
      <c r="X395" s="30"/>
      <c r="Y395" s="30"/>
      <c r="Z395" s="30"/>
      <c r="AA395" s="30"/>
      <c r="AB395" s="30"/>
      <c r="AC395" s="30"/>
    </row>
    <row r="396" ht="39.75" customHeight="1">
      <c r="A396" s="30"/>
      <c r="B396" s="31"/>
      <c r="C396" s="30"/>
      <c r="D396" s="30"/>
      <c r="E396" s="30"/>
      <c r="F396" s="30"/>
      <c r="G396" s="30"/>
      <c r="H396" s="30"/>
      <c r="I396" s="32"/>
      <c r="J396" s="30"/>
      <c r="K396" s="30"/>
      <c r="L396" s="30"/>
      <c r="M396" s="30"/>
      <c r="N396" s="30"/>
      <c r="O396" s="30"/>
      <c r="P396" s="30"/>
      <c r="Q396" s="30"/>
      <c r="R396" s="30"/>
      <c r="S396" s="30"/>
      <c r="T396" s="30"/>
      <c r="U396" s="30"/>
      <c r="V396" s="30"/>
      <c r="W396" s="30"/>
      <c r="X396" s="30"/>
      <c r="Y396" s="30"/>
      <c r="Z396" s="30"/>
      <c r="AA396" s="30"/>
      <c r="AB396" s="30"/>
      <c r="AC396" s="30"/>
    </row>
    <row r="397" ht="39.75" customHeight="1">
      <c r="A397" s="30"/>
      <c r="B397" s="31"/>
      <c r="C397" s="30"/>
      <c r="D397" s="30"/>
      <c r="E397" s="30"/>
      <c r="F397" s="30"/>
      <c r="G397" s="30"/>
      <c r="H397" s="30"/>
      <c r="I397" s="32"/>
      <c r="J397" s="30"/>
      <c r="K397" s="30"/>
      <c r="L397" s="30"/>
      <c r="M397" s="30"/>
      <c r="N397" s="30"/>
      <c r="O397" s="30"/>
      <c r="P397" s="30"/>
      <c r="Q397" s="30"/>
      <c r="R397" s="30"/>
      <c r="S397" s="30"/>
      <c r="T397" s="30"/>
      <c r="U397" s="30"/>
      <c r="V397" s="30"/>
      <c r="W397" s="30"/>
      <c r="X397" s="30"/>
      <c r="Y397" s="30"/>
      <c r="Z397" s="30"/>
      <c r="AA397" s="30"/>
      <c r="AB397" s="30"/>
      <c r="AC397" s="30"/>
    </row>
    <row r="398" ht="39.75" customHeight="1">
      <c r="A398" s="30"/>
      <c r="B398" s="31"/>
      <c r="C398" s="30"/>
      <c r="D398" s="30"/>
      <c r="E398" s="30"/>
      <c r="F398" s="30"/>
      <c r="G398" s="30"/>
      <c r="H398" s="30"/>
      <c r="I398" s="32"/>
      <c r="J398" s="30"/>
      <c r="K398" s="30"/>
      <c r="L398" s="30"/>
      <c r="M398" s="30"/>
      <c r="N398" s="30"/>
      <c r="O398" s="30"/>
      <c r="P398" s="30"/>
      <c r="Q398" s="30"/>
      <c r="R398" s="30"/>
      <c r="S398" s="30"/>
      <c r="T398" s="30"/>
      <c r="U398" s="30"/>
      <c r="V398" s="30"/>
      <c r="W398" s="30"/>
      <c r="X398" s="30"/>
      <c r="Y398" s="30"/>
      <c r="Z398" s="30"/>
      <c r="AA398" s="30"/>
      <c r="AB398" s="30"/>
      <c r="AC398" s="30"/>
    </row>
    <row r="399" ht="39.75" customHeight="1">
      <c r="A399" s="30"/>
      <c r="B399" s="31"/>
      <c r="C399" s="30"/>
      <c r="D399" s="30"/>
      <c r="E399" s="30"/>
      <c r="F399" s="30"/>
      <c r="G399" s="30"/>
      <c r="H399" s="30"/>
      <c r="I399" s="32"/>
      <c r="J399" s="30"/>
      <c r="K399" s="30"/>
      <c r="L399" s="30"/>
      <c r="M399" s="30"/>
      <c r="N399" s="30"/>
      <c r="O399" s="30"/>
      <c r="P399" s="30"/>
      <c r="Q399" s="30"/>
      <c r="R399" s="30"/>
      <c r="S399" s="30"/>
      <c r="T399" s="30"/>
      <c r="U399" s="30"/>
      <c r="V399" s="30"/>
      <c r="W399" s="30"/>
      <c r="X399" s="30"/>
      <c r="Y399" s="30"/>
      <c r="Z399" s="30"/>
      <c r="AA399" s="30"/>
      <c r="AB399" s="30"/>
      <c r="AC399" s="30"/>
    </row>
    <row r="400" ht="39.75" customHeight="1">
      <c r="A400" s="30"/>
      <c r="B400" s="31"/>
      <c r="C400" s="30"/>
      <c r="D400" s="30"/>
      <c r="E400" s="30"/>
      <c r="F400" s="30"/>
      <c r="G400" s="30"/>
      <c r="H400" s="30"/>
      <c r="I400" s="32"/>
      <c r="J400" s="30"/>
      <c r="K400" s="30"/>
      <c r="L400" s="30"/>
      <c r="M400" s="30"/>
      <c r="N400" s="30"/>
      <c r="O400" s="30"/>
      <c r="P400" s="30"/>
      <c r="Q400" s="30"/>
      <c r="R400" s="30"/>
      <c r="S400" s="30"/>
      <c r="T400" s="30"/>
      <c r="U400" s="30"/>
      <c r="V400" s="30"/>
      <c r="W400" s="30"/>
      <c r="X400" s="30"/>
      <c r="Y400" s="30"/>
      <c r="Z400" s="30"/>
      <c r="AA400" s="30"/>
      <c r="AB400" s="30"/>
      <c r="AC400" s="30"/>
    </row>
    <row r="401" ht="39.75" customHeight="1">
      <c r="A401" s="30"/>
      <c r="B401" s="31"/>
      <c r="C401" s="30"/>
      <c r="D401" s="30"/>
      <c r="E401" s="30"/>
      <c r="F401" s="30"/>
      <c r="G401" s="30"/>
      <c r="H401" s="30"/>
      <c r="I401" s="32"/>
      <c r="J401" s="30"/>
      <c r="K401" s="30"/>
      <c r="L401" s="30"/>
      <c r="M401" s="30"/>
      <c r="N401" s="30"/>
      <c r="O401" s="30"/>
      <c r="P401" s="30"/>
      <c r="Q401" s="30"/>
      <c r="R401" s="30"/>
      <c r="S401" s="30"/>
      <c r="T401" s="30"/>
      <c r="U401" s="30"/>
      <c r="V401" s="30"/>
      <c r="W401" s="30"/>
      <c r="X401" s="30"/>
      <c r="Y401" s="30"/>
      <c r="Z401" s="30"/>
      <c r="AA401" s="30"/>
      <c r="AB401" s="30"/>
      <c r="AC401" s="30"/>
    </row>
    <row r="402" ht="39.75" customHeight="1">
      <c r="A402" s="30"/>
      <c r="B402" s="31"/>
      <c r="C402" s="30"/>
      <c r="D402" s="30"/>
      <c r="E402" s="30"/>
      <c r="F402" s="30"/>
      <c r="G402" s="30"/>
      <c r="H402" s="30"/>
      <c r="I402" s="32"/>
      <c r="J402" s="30"/>
      <c r="K402" s="30"/>
      <c r="L402" s="30"/>
      <c r="M402" s="30"/>
      <c r="N402" s="30"/>
      <c r="O402" s="30"/>
      <c r="P402" s="30"/>
      <c r="Q402" s="30"/>
      <c r="R402" s="30"/>
      <c r="S402" s="30"/>
      <c r="T402" s="30"/>
      <c r="U402" s="30"/>
      <c r="V402" s="30"/>
      <c r="W402" s="30"/>
      <c r="X402" s="30"/>
      <c r="Y402" s="30"/>
      <c r="Z402" s="30"/>
      <c r="AA402" s="30"/>
      <c r="AB402" s="30"/>
      <c r="AC402" s="30"/>
    </row>
    <row r="403" ht="39.75" customHeight="1">
      <c r="A403" s="30"/>
      <c r="B403" s="31"/>
      <c r="C403" s="30"/>
      <c r="D403" s="30"/>
      <c r="E403" s="30"/>
      <c r="F403" s="30"/>
      <c r="G403" s="30"/>
      <c r="H403" s="30"/>
      <c r="I403" s="32"/>
      <c r="J403" s="30"/>
      <c r="K403" s="30"/>
      <c r="L403" s="30"/>
      <c r="M403" s="30"/>
      <c r="N403" s="30"/>
      <c r="O403" s="30"/>
      <c r="P403" s="30"/>
      <c r="Q403" s="30"/>
      <c r="R403" s="30"/>
      <c r="S403" s="30"/>
      <c r="T403" s="30"/>
      <c r="U403" s="30"/>
      <c r="V403" s="30"/>
      <c r="W403" s="30"/>
      <c r="X403" s="30"/>
      <c r="Y403" s="30"/>
      <c r="Z403" s="30"/>
      <c r="AA403" s="30"/>
      <c r="AB403" s="30"/>
      <c r="AC403" s="30"/>
    </row>
    <row r="404" ht="39.75" customHeight="1">
      <c r="A404" s="30"/>
      <c r="B404" s="31"/>
      <c r="C404" s="30"/>
      <c r="D404" s="30"/>
      <c r="E404" s="30"/>
      <c r="F404" s="30"/>
      <c r="G404" s="30"/>
      <c r="H404" s="30"/>
      <c r="I404" s="32"/>
      <c r="J404" s="30"/>
      <c r="K404" s="30"/>
      <c r="L404" s="30"/>
      <c r="M404" s="30"/>
      <c r="N404" s="30"/>
      <c r="O404" s="30"/>
      <c r="P404" s="30"/>
      <c r="Q404" s="30"/>
      <c r="R404" s="30"/>
      <c r="S404" s="30"/>
      <c r="T404" s="30"/>
      <c r="U404" s="30"/>
      <c r="V404" s="30"/>
      <c r="W404" s="30"/>
      <c r="X404" s="30"/>
      <c r="Y404" s="30"/>
      <c r="Z404" s="30"/>
      <c r="AA404" s="30"/>
      <c r="AB404" s="30"/>
      <c r="AC404" s="30"/>
    </row>
    <row r="405" ht="39.75" customHeight="1">
      <c r="A405" s="30"/>
      <c r="B405" s="31"/>
      <c r="C405" s="30"/>
      <c r="D405" s="30"/>
      <c r="E405" s="30"/>
      <c r="F405" s="30"/>
      <c r="G405" s="30"/>
      <c r="H405" s="30"/>
      <c r="I405" s="32"/>
      <c r="J405" s="30"/>
      <c r="K405" s="30"/>
      <c r="L405" s="30"/>
      <c r="M405" s="30"/>
      <c r="N405" s="30"/>
      <c r="O405" s="30"/>
      <c r="P405" s="30"/>
      <c r="Q405" s="30"/>
      <c r="R405" s="30"/>
      <c r="S405" s="30"/>
      <c r="T405" s="30"/>
      <c r="U405" s="30"/>
      <c r="V405" s="30"/>
      <c r="W405" s="30"/>
      <c r="X405" s="30"/>
      <c r="Y405" s="30"/>
      <c r="Z405" s="30"/>
      <c r="AA405" s="30"/>
      <c r="AB405" s="30"/>
      <c r="AC405" s="30"/>
    </row>
    <row r="406" ht="39.75" customHeight="1">
      <c r="A406" s="30"/>
      <c r="B406" s="31"/>
      <c r="C406" s="30"/>
      <c r="D406" s="30"/>
      <c r="E406" s="30"/>
      <c r="F406" s="30"/>
      <c r="G406" s="30"/>
      <c r="H406" s="30"/>
      <c r="I406" s="32"/>
      <c r="J406" s="30"/>
      <c r="K406" s="30"/>
      <c r="L406" s="30"/>
      <c r="M406" s="30"/>
      <c r="N406" s="30"/>
      <c r="O406" s="30"/>
      <c r="P406" s="30"/>
      <c r="Q406" s="30"/>
      <c r="R406" s="30"/>
      <c r="S406" s="30"/>
      <c r="T406" s="30"/>
      <c r="U406" s="30"/>
      <c r="V406" s="30"/>
      <c r="W406" s="30"/>
      <c r="X406" s="30"/>
      <c r="Y406" s="30"/>
      <c r="Z406" s="30"/>
      <c r="AA406" s="30"/>
      <c r="AB406" s="30"/>
      <c r="AC406" s="30"/>
    </row>
    <row r="407" ht="39.75" customHeight="1">
      <c r="A407" s="30"/>
      <c r="B407" s="31"/>
      <c r="C407" s="30"/>
      <c r="D407" s="30"/>
      <c r="E407" s="30"/>
      <c r="F407" s="30"/>
      <c r="G407" s="30"/>
      <c r="H407" s="30"/>
      <c r="I407" s="32"/>
      <c r="J407" s="30"/>
      <c r="K407" s="30"/>
      <c r="L407" s="30"/>
      <c r="M407" s="30"/>
      <c r="N407" s="30"/>
      <c r="O407" s="30"/>
      <c r="P407" s="30"/>
      <c r="Q407" s="30"/>
      <c r="R407" s="30"/>
      <c r="S407" s="30"/>
      <c r="T407" s="30"/>
      <c r="U407" s="30"/>
      <c r="V407" s="30"/>
      <c r="W407" s="30"/>
      <c r="X407" s="30"/>
      <c r="Y407" s="30"/>
      <c r="Z407" s="30"/>
      <c r="AA407" s="30"/>
      <c r="AB407" s="30"/>
      <c r="AC407" s="30"/>
    </row>
    <row r="408" ht="39.75" customHeight="1">
      <c r="A408" s="30"/>
      <c r="B408" s="31"/>
      <c r="C408" s="30"/>
      <c r="D408" s="30"/>
      <c r="E408" s="30"/>
      <c r="F408" s="30"/>
      <c r="G408" s="30"/>
      <c r="H408" s="30"/>
      <c r="I408" s="32"/>
      <c r="J408" s="30"/>
      <c r="K408" s="30"/>
      <c r="L408" s="30"/>
      <c r="M408" s="30"/>
      <c r="N408" s="30"/>
      <c r="O408" s="30"/>
      <c r="P408" s="30"/>
      <c r="Q408" s="30"/>
      <c r="R408" s="30"/>
      <c r="S408" s="30"/>
      <c r="T408" s="30"/>
      <c r="U408" s="30"/>
      <c r="V408" s="30"/>
      <c r="W408" s="30"/>
      <c r="X408" s="30"/>
      <c r="Y408" s="30"/>
      <c r="Z408" s="30"/>
      <c r="AA408" s="30"/>
      <c r="AB408" s="30"/>
      <c r="AC408" s="30"/>
    </row>
    <row r="409" ht="39.75" customHeight="1">
      <c r="A409" s="30"/>
      <c r="B409" s="31"/>
      <c r="C409" s="30"/>
      <c r="D409" s="30"/>
      <c r="E409" s="30"/>
      <c r="F409" s="30"/>
      <c r="G409" s="30"/>
      <c r="H409" s="30"/>
      <c r="I409" s="32"/>
      <c r="J409" s="30"/>
      <c r="K409" s="30"/>
      <c r="L409" s="30"/>
      <c r="M409" s="30"/>
      <c r="N409" s="30"/>
      <c r="O409" s="30"/>
      <c r="P409" s="30"/>
      <c r="Q409" s="30"/>
      <c r="R409" s="30"/>
      <c r="S409" s="30"/>
      <c r="T409" s="30"/>
      <c r="U409" s="30"/>
      <c r="V409" s="30"/>
      <c r="W409" s="30"/>
      <c r="X409" s="30"/>
      <c r="Y409" s="30"/>
      <c r="Z409" s="30"/>
      <c r="AA409" s="30"/>
      <c r="AB409" s="30"/>
      <c r="AC409" s="30"/>
    </row>
    <row r="410" ht="39.75" customHeight="1">
      <c r="A410" s="30"/>
      <c r="B410" s="31"/>
      <c r="C410" s="30"/>
      <c r="D410" s="30"/>
      <c r="E410" s="30"/>
      <c r="F410" s="30"/>
      <c r="G410" s="30"/>
      <c r="H410" s="30"/>
      <c r="I410" s="32"/>
      <c r="J410" s="30"/>
      <c r="K410" s="30"/>
      <c r="L410" s="30"/>
      <c r="M410" s="30"/>
      <c r="N410" s="30"/>
      <c r="O410" s="30"/>
      <c r="P410" s="30"/>
      <c r="Q410" s="30"/>
      <c r="R410" s="30"/>
      <c r="S410" s="30"/>
      <c r="T410" s="30"/>
      <c r="U410" s="30"/>
      <c r="V410" s="30"/>
      <c r="W410" s="30"/>
      <c r="X410" s="30"/>
      <c r="Y410" s="30"/>
      <c r="Z410" s="30"/>
      <c r="AA410" s="30"/>
      <c r="AB410" s="30"/>
      <c r="AC410" s="30"/>
    </row>
    <row r="411" ht="39.75" customHeight="1">
      <c r="A411" s="30"/>
      <c r="B411" s="31"/>
      <c r="C411" s="30"/>
      <c r="D411" s="30"/>
      <c r="E411" s="30"/>
      <c r="F411" s="30"/>
      <c r="G411" s="30"/>
      <c r="H411" s="30"/>
      <c r="I411" s="32"/>
      <c r="J411" s="30"/>
      <c r="K411" s="30"/>
      <c r="L411" s="30"/>
      <c r="M411" s="30"/>
      <c r="N411" s="30"/>
      <c r="O411" s="30"/>
      <c r="P411" s="30"/>
      <c r="Q411" s="30"/>
      <c r="R411" s="30"/>
      <c r="S411" s="30"/>
      <c r="T411" s="30"/>
      <c r="U411" s="30"/>
      <c r="V411" s="30"/>
      <c r="W411" s="30"/>
      <c r="X411" s="30"/>
      <c r="Y411" s="30"/>
      <c r="Z411" s="30"/>
      <c r="AA411" s="30"/>
      <c r="AB411" s="30"/>
      <c r="AC411" s="30"/>
    </row>
    <row r="412" ht="39.75" customHeight="1">
      <c r="A412" s="30"/>
      <c r="B412" s="31"/>
      <c r="C412" s="30"/>
      <c r="D412" s="30"/>
      <c r="E412" s="30"/>
      <c r="F412" s="30"/>
      <c r="G412" s="30"/>
      <c r="H412" s="30"/>
      <c r="I412" s="32"/>
      <c r="J412" s="30"/>
      <c r="K412" s="30"/>
      <c r="L412" s="30"/>
      <c r="M412" s="30"/>
      <c r="N412" s="30"/>
      <c r="O412" s="30"/>
      <c r="P412" s="30"/>
      <c r="Q412" s="30"/>
      <c r="R412" s="30"/>
      <c r="S412" s="30"/>
      <c r="T412" s="30"/>
      <c r="U412" s="30"/>
      <c r="V412" s="30"/>
      <c r="W412" s="30"/>
      <c r="X412" s="30"/>
      <c r="Y412" s="30"/>
      <c r="Z412" s="30"/>
      <c r="AA412" s="30"/>
      <c r="AB412" s="30"/>
      <c r="AC412" s="30"/>
    </row>
    <row r="413" ht="39.75" customHeight="1">
      <c r="A413" s="30"/>
      <c r="B413" s="31"/>
      <c r="C413" s="30"/>
      <c r="D413" s="30"/>
      <c r="E413" s="30"/>
      <c r="F413" s="30"/>
      <c r="G413" s="30"/>
      <c r="H413" s="30"/>
      <c r="I413" s="32"/>
      <c r="J413" s="30"/>
      <c r="K413" s="30"/>
      <c r="L413" s="30"/>
      <c r="M413" s="30"/>
      <c r="N413" s="30"/>
      <c r="O413" s="30"/>
      <c r="P413" s="30"/>
      <c r="Q413" s="30"/>
      <c r="R413" s="30"/>
      <c r="S413" s="30"/>
      <c r="T413" s="30"/>
      <c r="U413" s="30"/>
      <c r="V413" s="30"/>
      <c r="W413" s="30"/>
      <c r="X413" s="30"/>
      <c r="Y413" s="30"/>
      <c r="Z413" s="30"/>
      <c r="AA413" s="30"/>
      <c r="AB413" s="30"/>
      <c r="AC413" s="30"/>
    </row>
    <row r="414" ht="39.75" customHeight="1">
      <c r="A414" s="30"/>
      <c r="B414" s="31"/>
      <c r="C414" s="30"/>
      <c r="D414" s="30"/>
      <c r="E414" s="30"/>
      <c r="F414" s="30"/>
      <c r="G414" s="30"/>
      <c r="H414" s="30"/>
      <c r="I414" s="32"/>
      <c r="J414" s="30"/>
      <c r="K414" s="30"/>
      <c r="L414" s="30"/>
      <c r="M414" s="30"/>
      <c r="N414" s="30"/>
      <c r="O414" s="30"/>
      <c r="P414" s="30"/>
      <c r="Q414" s="30"/>
      <c r="R414" s="30"/>
      <c r="S414" s="30"/>
      <c r="T414" s="30"/>
      <c r="U414" s="30"/>
      <c r="V414" s="30"/>
      <c r="W414" s="30"/>
      <c r="X414" s="30"/>
      <c r="Y414" s="30"/>
      <c r="Z414" s="30"/>
      <c r="AA414" s="30"/>
      <c r="AB414" s="30"/>
      <c r="AC414" s="30"/>
    </row>
    <row r="415" ht="39.75" customHeight="1">
      <c r="A415" s="30"/>
      <c r="B415" s="31"/>
      <c r="C415" s="30"/>
      <c r="D415" s="30"/>
      <c r="E415" s="30"/>
      <c r="F415" s="30"/>
      <c r="G415" s="30"/>
      <c r="H415" s="30"/>
      <c r="I415" s="32"/>
      <c r="J415" s="30"/>
      <c r="K415" s="30"/>
      <c r="L415" s="30"/>
      <c r="M415" s="30"/>
      <c r="N415" s="30"/>
      <c r="O415" s="30"/>
      <c r="P415" s="30"/>
      <c r="Q415" s="30"/>
      <c r="R415" s="30"/>
      <c r="S415" s="30"/>
      <c r="T415" s="30"/>
      <c r="U415" s="30"/>
      <c r="V415" s="30"/>
      <c r="W415" s="30"/>
      <c r="X415" s="30"/>
      <c r="Y415" s="30"/>
      <c r="Z415" s="30"/>
      <c r="AA415" s="30"/>
      <c r="AB415" s="30"/>
      <c r="AC415" s="30"/>
    </row>
    <row r="416" ht="39.75" customHeight="1">
      <c r="A416" s="30"/>
      <c r="B416" s="31"/>
      <c r="C416" s="30"/>
      <c r="D416" s="30"/>
      <c r="E416" s="30"/>
      <c r="F416" s="30"/>
      <c r="G416" s="30"/>
      <c r="H416" s="30"/>
      <c r="I416" s="32"/>
      <c r="J416" s="30"/>
      <c r="K416" s="30"/>
      <c r="L416" s="30"/>
      <c r="M416" s="30"/>
      <c r="N416" s="30"/>
      <c r="O416" s="30"/>
      <c r="P416" s="30"/>
      <c r="Q416" s="30"/>
      <c r="R416" s="30"/>
      <c r="S416" s="30"/>
      <c r="T416" s="30"/>
      <c r="U416" s="30"/>
      <c r="V416" s="30"/>
      <c r="W416" s="30"/>
      <c r="X416" s="30"/>
      <c r="Y416" s="30"/>
      <c r="Z416" s="30"/>
      <c r="AA416" s="30"/>
      <c r="AB416" s="30"/>
      <c r="AC416" s="30"/>
    </row>
    <row r="417" ht="39.75" customHeight="1">
      <c r="A417" s="30"/>
      <c r="B417" s="31"/>
      <c r="C417" s="30"/>
      <c r="D417" s="30"/>
      <c r="E417" s="30"/>
      <c r="F417" s="30"/>
      <c r="G417" s="30"/>
      <c r="H417" s="30"/>
      <c r="I417" s="32"/>
      <c r="J417" s="30"/>
      <c r="K417" s="30"/>
      <c r="L417" s="30"/>
      <c r="M417" s="30"/>
      <c r="N417" s="30"/>
      <c r="O417" s="30"/>
      <c r="P417" s="30"/>
      <c r="Q417" s="30"/>
      <c r="R417" s="30"/>
      <c r="S417" s="30"/>
      <c r="T417" s="30"/>
      <c r="U417" s="30"/>
      <c r="V417" s="30"/>
      <c r="W417" s="30"/>
      <c r="X417" s="30"/>
      <c r="Y417" s="30"/>
      <c r="Z417" s="30"/>
      <c r="AA417" s="30"/>
      <c r="AB417" s="30"/>
      <c r="AC417" s="30"/>
    </row>
    <row r="418" ht="39.75" customHeight="1">
      <c r="A418" s="30"/>
      <c r="B418" s="31"/>
      <c r="C418" s="30"/>
      <c r="D418" s="30"/>
      <c r="E418" s="30"/>
      <c r="F418" s="30"/>
      <c r="G418" s="30"/>
      <c r="H418" s="30"/>
      <c r="I418" s="32"/>
      <c r="J418" s="30"/>
      <c r="K418" s="30"/>
      <c r="L418" s="30"/>
      <c r="M418" s="30"/>
      <c r="N418" s="30"/>
      <c r="O418" s="30"/>
      <c r="P418" s="30"/>
      <c r="Q418" s="30"/>
      <c r="R418" s="30"/>
      <c r="S418" s="30"/>
      <c r="T418" s="30"/>
      <c r="U418" s="30"/>
      <c r="V418" s="30"/>
      <c r="W418" s="30"/>
      <c r="X418" s="30"/>
      <c r="Y418" s="30"/>
      <c r="Z418" s="30"/>
      <c r="AA418" s="30"/>
      <c r="AB418" s="30"/>
      <c r="AC418" s="30"/>
    </row>
    <row r="419" ht="39.75" customHeight="1">
      <c r="A419" s="30"/>
      <c r="B419" s="31"/>
      <c r="C419" s="30"/>
      <c r="D419" s="30"/>
      <c r="E419" s="30"/>
      <c r="F419" s="30"/>
      <c r="G419" s="30"/>
      <c r="H419" s="30"/>
      <c r="I419" s="32"/>
      <c r="J419" s="30"/>
      <c r="K419" s="30"/>
      <c r="L419" s="30"/>
      <c r="M419" s="30"/>
      <c r="N419" s="30"/>
      <c r="O419" s="30"/>
      <c r="P419" s="30"/>
      <c r="Q419" s="30"/>
      <c r="R419" s="30"/>
      <c r="S419" s="30"/>
      <c r="T419" s="30"/>
      <c r="U419" s="30"/>
      <c r="V419" s="30"/>
      <c r="W419" s="30"/>
      <c r="X419" s="30"/>
      <c r="Y419" s="30"/>
      <c r="Z419" s="30"/>
      <c r="AA419" s="30"/>
      <c r="AB419" s="30"/>
      <c r="AC419" s="30"/>
    </row>
    <row r="420" ht="39.75" customHeight="1">
      <c r="A420" s="30"/>
      <c r="B420" s="31"/>
      <c r="C420" s="30"/>
      <c r="D420" s="30"/>
      <c r="E420" s="30"/>
      <c r="F420" s="30"/>
      <c r="G420" s="30"/>
      <c r="H420" s="30"/>
      <c r="I420" s="32"/>
      <c r="J420" s="30"/>
      <c r="K420" s="30"/>
      <c r="L420" s="30"/>
      <c r="M420" s="30"/>
      <c r="N420" s="30"/>
      <c r="O420" s="30"/>
      <c r="P420" s="30"/>
      <c r="Q420" s="30"/>
      <c r="R420" s="30"/>
      <c r="S420" s="30"/>
      <c r="T420" s="30"/>
      <c r="U420" s="30"/>
      <c r="V420" s="30"/>
      <c r="W420" s="30"/>
      <c r="X420" s="30"/>
      <c r="Y420" s="30"/>
      <c r="Z420" s="30"/>
      <c r="AA420" s="30"/>
      <c r="AB420" s="30"/>
      <c r="AC420" s="30"/>
    </row>
    <row r="421" ht="39.75" customHeight="1">
      <c r="A421" s="30"/>
      <c r="B421" s="31"/>
      <c r="C421" s="30"/>
      <c r="D421" s="30"/>
      <c r="E421" s="30"/>
      <c r="F421" s="30"/>
      <c r="G421" s="30"/>
      <c r="H421" s="30"/>
      <c r="I421" s="32"/>
      <c r="J421" s="30"/>
      <c r="K421" s="30"/>
      <c r="L421" s="30"/>
      <c r="M421" s="30"/>
      <c r="N421" s="30"/>
      <c r="O421" s="30"/>
      <c r="P421" s="30"/>
      <c r="Q421" s="30"/>
      <c r="R421" s="30"/>
      <c r="S421" s="30"/>
      <c r="T421" s="30"/>
      <c r="U421" s="30"/>
      <c r="V421" s="30"/>
      <c r="W421" s="30"/>
      <c r="X421" s="30"/>
      <c r="Y421" s="30"/>
      <c r="Z421" s="30"/>
      <c r="AA421" s="30"/>
      <c r="AB421" s="30"/>
      <c r="AC421" s="30"/>
    </row>
    <row r="422" ht="39.75" customHeight="1">
      <c r="A422" s="30"/>
      <c r="B422" s="31"/>
      <c r="C422" s="30"/>
      <c r="D422" s="30"/>
      <c r="E422" s="30"/>
      <c r="F422" s="30"/>
      <c r="G422" s="30"/>
      <c r="H422" s="30"/>
      <c r="I422" s="32"/>
      <c r="J422" s="30"/>
      <c r="K422" s="30"/>
      <c r="L422" s="30"/>
      <c r="M422" s="30"/>
      <c r="N422" s="30"/>
      <c r="O422" s="30"/>
      <c r="P422" s="30"/>
      <c r="Q422" s="30"/>
      <c r="R422" s="30"/>
      <c r="S422" s="30"/>
      <c r="T422" s="30"/>
      <c r="U422" s="30"/>
      <c r="V422" s="30"/>
      <c r="W422" s="30"/>
      <c r="X422" s="30"/>
      <c r="Y422" s="30"/>
      <c r="Z422" s="30"/>
      <c r="AA422" s="30"/>
      <c r="AB422" s="30"/>
      <c r="AC422" s="30"/>
    </row>
    <row r="423" ht="39.75" customHeight="1">
      <c r="A423" s="30"/>
      <c r="B423" s="31"/>
      <c r="C423" s="30"/>
      <c r="D423" s="30"/>
      <c r="E423" s="30"/>
      <c r="F423" s="30"/>
      <c r="G423" s="30"/>
      <c r="H423" s="30"/>
      <c r="I423" s="32"/>
      <c r="J423" s="30"/>
      <c r="K423" s="30"/>
      <c r="L423" s="30"/>
      <c r="M423" s="30"/>
      <c r="N423" s="30"/>
      <c r="O423" s="30"/>
      <c r="P423" s="30"/>
      <c r="Q423" s="30"/>
      <c r="R423" s="30"/>
      <c r="S423" s="30"/>
      <c r="T423" s="30"/>
      <c r="U423" s="30"/>
      <c r="V423" s="30"/>
      <c r="W423" s="30"/>
      <c r="X423" s="30"/>
      <c r="Y423" s="30"/>
      <c r="Z423" s="30"/>
      <c r="AA423" s="30"/>
      <c r="AB423" s="30"/>
      <c r="AC423" s="30"/>
    </row>
    <row r="424" ht="39.75" customHeight="1">
      <c r="A424" s="30"/>
      <c r="B424" s="31"/>
      <c r="C424" s="30"/>
      <c r="D424" s="30"/>
      <c r="E424" s="30"/>
      <c r="F424" s="30"/>
      <c r="G424" s="30"/>
      <c r="H424" s="30"/>
      <c r="I424" s="32"/>
      <c r="J424" s="30"/>
      <c r="K424" s="30"/>
      <c r="L424" s="30"/>
      <c r="M424" s="30"/>
      <c r="N424" s="30"/>
      <c r="O424" s="30"/>
      <c r="P424" s="30"/>
      <c r="Q424" s="30"/>
      <c r="R424" s="30"/>
      <c r="S424" s="30"/>
      <c r="T424" s="30"/>
      <c r="U424" s="30"/>
      <c r="V424" s="30"/>
      <c r="W424" s="30"/>
      <c r="X424" s="30"/>
      <c r="Y424" s="30"/>
      <c r="Z424" s="30"/>
      <c r="AA424" s="30"/>
      <c r="AB424" s="30"/>
      <c r="AC424" s="30"/>
    </row>
    <row r="425" ht="39.75" customHeight="1">
      <c r="A425" s="30"/>
      <c r="B425" s="31"/>
      <c r="C425" s="30"/>
      <c r="D425" s="30"/>
      <c r="E425" s="30"/>
      <c r="F425" s="30"/>
      <c r="G425" s="30"/>
      <c r="H425" s="30"/>
      <c r="I425" s="32"/>
      <c r="J425" s="30"/>
      <c r="K425" s="30"/>
      <c r="L425" s="30"/>
      <c r="M425" s="30"/>
      <c r="N425" s="30"/>
      <c r="O425" s="30"/>
      <c r="P425" s="30"/>
      <c r="Q425" s="30"/>
      <c r="R425" s="30"/>
      <c r="S425" s="30"/>
      <c r="T425" s="30"/>
      <c r="U425" s="30"/>
      <c r="V425" s="30"/>
      <c r="W425" s="30"/>
      <c r="X425" s="30"/>
      <c r="Y425" s="30"/>
      <c r="Z425" s="30"/>
      <c r="AA425" s="30"/>
      <c r="AB425" s="30"/>
      <c r="AC425" s="30"/>
    </row>
    <row r="426" ht="39.75" customHeight="1">
      <c r="A426" s="30"/>
      <c r="B426" s="31"/>
      <c r="C426" s="30"/>
      <c r="D426" s="30"/>
      <c r="E426" s="30"/>
      <c r="F426" s="30"/>
      <c r="G426" s="30"/>
      <c r="H426" s="30"/>
      <c r="I426" s="32"/>
      <c r="J426" s="30"/>
      <c r="K426" s="30"/>
      <c r="L426" s="30"/>
      <c r="M426" s="30"/>
      <c r="N426" s="30"/>
      <c r="O426" s="30"/>
      <c r="P426" s="30"/>
      <c r="Q426" s="30"/>
      <c r="R426" s="30"/>
      <c r="S426" s="30"/>
      <c r="T426" s="30"/>
      <c r="U426" s="30"/>
      <c r="V426" s="30"/>
      <c r="W426" s="30"/>
      <c r="X426" s="30"/>
      <c r="Y426" s="30"/>
      <c r="Z426" s="30"/>
      <c r="AA426" s="30"/>
      <c r="AB426" s="30"/>
      <c r="AC426" s="30"/>
    </row>
    <row r="427" ht="39.75" customHeight="1">
      <c r="A427" s="30"/>
      <c r="B427" s="31"/>
      <c r="C427" s="30"/>
      <c r="D427" s="30"/>
      <c r="E427" s="30"/>
      <c r="F427" s="30"/>
      <c r="G427" s="30"/>
      <c r="H427" s="30"/>
      <c r="I427" s="32"/>
      <c r="J427" s="30"/>
      <c r="K427" s="30"/>
      <c r="L427" s="30"/>
      <c r="M427" s="30"/>
      <c r="N427" s="30"/>
      <c r="O427" s="30"/>
      <c r="P427" s="30"/>
      <c r="Q427" s="30"/>
      <c r="R427" s="30"/>
      <c r="S427" s="30"/>
      <c r="T427" s="30"/>
      <c r="U427" s="30"/>
      <c r="V427" s="30"/>
      <c r="W427" s="30"/>
      <c r="X427" s="30"/>
      <c r="Y427" s="30"/>
      <c r="Z427" s="30"/>
      <c r="AA427" s="30"/>
      <c r="AB427" s="30"/>
      <c r="AC427" s="30"/>
    </row>
    <row r="428" ht="39.75" customHeight="1">
      <c r="A428" s="30"/>
      <c r="B428" s="31"/>
      <c r="C428" s="30"/>
      <c r="D428" s="30"/>
      <c r="E428" s="30"/>
      <c r="F428" s="30"/>
      <c r="G428" s="30"/>
      <c r="H428" s="30"/>
      <c r="I428" s="32"/>
      <c r="J428" s="30"/>
      <c r="K428" s="30"/>
      <c r="L428" s="30"/>
      <c r="M428" s="30"/>
      <c r="N428" s="30"/>
      <c r="O428" s="30"/>
      <c r="P428" s="30"/>
      <c r="Q428" s="30"/>
      <c r="R428" s="30"/>
      <c r="S428" s="30"/>
      <c r="T428" s="30"/>
      <c r="U428" s="30"/>
      <c r="V428" s="30"/>
      <c r="W428" s="30"/>
      <c r="X428" s="30"/>
      <c r="Y428" s="30"/>
      <c r="Z428" s="30"/>
      <c r="AA428" s="30"/>
      <c r="AB428" s="30"/>
      <c r="AC428" s="30"/>
    </row>
    <row r="429" ht="39.75" customHeight="1">
      <c r="A429" s="30"/>
      <c r="B429" s="31"/>
      <c r="C429" s="30"/>
      <c r="D429" s="30"/>
      <c r="E429" s="30"/>
      <c r="F429" s="30"/>
      <c r="G429" s="30"/>
      <c r="H429" s="30"/>
      <c r="I429" s="32"/>
      <c r="J429" s="30"/>
      <c r="K429" s="30"/>
      <c r="L429" s="30"/>
      <c r="M429" s="30"/>
      <c r="N429" s="30"/>
      <c r="O429" s="30"/>
      <c r="P429" s="30"/>
      <c r="Q429" s="30"/>
      <c r="R429" s="30"/>
      <c r="S429" s="30"/>
      <c r="T429" s="30"/>
      <c r="U429" s="30"/>
      <c r="V429" s="30"/>
      <c r="W429" s="30"/>
      <c r="X429" s="30"/>
      <c r="Y429" s="30"/>
      <c r="Z429" s="30"/>
      <c r="AA429" s="30"/>
      <c r="AB429" s="30"/>
      <c r="AC429" s="30"/>
    </row>
    <row r="430" ht="39.75" customHeight="1">
      <c r="A430" s="30"/>
      <c r="B430" s="31"/>
      <c r="C430" s="30"/>
      <c r="D430" s="30"/>
      <c r="E430" s="30"/>
      <c r="F430" s="30"/>
      <c r="G430" s="30"/>
      <c r="H430" s="30"/>
      <c r="I430" s="32"/>
      <c r="J430" s="30"/>
      <c r="K430" s="30"/>
      <c r="L430" s="30"/>
      <c r="M430" s="30"/>
      <c r="N430" s="30"/>
      <c r="O430" s="30"/>
      <c r="P430" s="30"/>
      <c r="Q430" s="30"/>
      <c r="R430" s="30"/>
      <c r="S430" s="30"/>
      <c r="T430" s="30"/>
      <c r="U430" s="30"/>
      <c r="V430" s="30"/>
      <c r="W430" s="30"/>
      <c r="X430" s="30"/>
      <c r="Y430" s="30"/>
      <c r="Z430" s="30"/>
      <c r="AA430" s="30"/>
      <c r="AB430" s="30"/>
      <c r="AC430" s="30"/>
    </row>
    <row r="431" ht="39.75" customHeight="1">
      <c r="A431" s="30"/>
      <c r="B431" s="31"/>
      <c r="C431" s="30"/>
      <c r="D431" s="30"/>
      <c r="E431" s="30"/>
      <c r="F431" s="30"/>
      <c r="G431" s="30"/>
      <c r="H431" s="30"/>
      <c r="I431" s="32"/>
      <c r="J431" s="30"/>
      <c r="K431" s="30"/>
      <c r="L431" s="30"/>
      <c r="M431" s="30"/>
      <c r="N431" s="30"/>
      <c r="O431" s="30"/>
      <c r="P431" s="30"/>
      <c r="Q431" s="30"/>
      <c r="R431" s="30"/>
      <c r="S431" s="30"/>
      <c r="T431" s="30"/>
      <c r="U431" s="30"/>
      <c r="V431" s="30"/>
      <c r="W431" s="30"/>
      <c r="X431" s="30"/>
      <c r="Y431" s="30"/>
      <c r="Z431" s="30"/>
      <c r="AA431" s="30"/>
      <c r="AB431" s="30"/>
      <c r="AC431" s="30"/>
    </row>
    <row r="432" ht="39.75" customHeight="1">
      <c r="A432" s="30"/>
      <c r="B432" s="31"/>
      <c r="C432" s="30"/>
      <c r="D432" s="30"/>
      <c r="E432" s="30"/>
      <c r="F432" s="30"/>
      <c r="G432" s="30"/>
      <c r="H432" s="30"/>
      <c r="I432" s="32"/>
      <c r="J432" s="30"/>
      <c r="K432" s="30"/>
      <c r="L432" s="30"/>
      <c r="M432" s="30"/>
      <c r="N432" s="30"/>
      <c r="O432" s="30"/>
      <c r="P432" s="30"/>
      <c r="Q432" s="30"/>
      <c r="R432" s="30"/>
      <c r="S432" s="30"/>
      <c r="T432" s="30"/>
      <c r="U432" s="30"/>
      <c r="V432" s="30"/>
      <c r="W432" s="30"/>
      <c r="X432" s="30"/>
      <c r="Y432" s="30"/>
      <c r="Z432" s="30"/>
      <c r="AA432" s="30"/>
      <c r="AB432" s="30"/>
      <c r="AC432" s="30"/>
    </row>
    <row r="433" ht="39.75" customHeight="1">
      <c r="A433" s="30"/>
      <c r="B433" s="31"/>
      <c r="C433" s="30"/>
      <c r="D433" s="30"/>
      <c r="E433" s="30"/>
      <c r="F433" s="30"/>
      <c r="G433" s="30"/>
      <c r="H433" s="30"/>
      <c r="I433" s="32"/>
      <c r="J433" s="30"/>
      <c r="K433" s="30"/>
      <c r="L433" s="30"/>
      <c r="M433" s="30"/>
      <c r="N433" s="30"/>
      <c r="O433" s="30"/>
      <c r="P433" s="30"/>
      <c r="Q433" s="30"/>
      <c r="R433" s="30"/>
      <c r="S433" s="30"/>
      <c r="T433" s="30"/>
      <c r="U433" s="30"/>
      <c r="V433" s="30"/>
      <c r="W433" s="30"/>
      <c r="X433" s="30"/>
      <c r="Y433" s="30"/>
      <c r="Z433" s="30"/>
      <c r="AA433" s="30"/>
      <c r="AB433" s="30"/>
      <c r="AC433" s="30"/>
    </row>
    <row r="434" ht="39.75" customHeight="1">
      <c r="A434" s="30"/>
      <c r="B434" s="31"/>
      <c r="C434" s="30"/>
      <c r="D434" s="30"/>
      <c r="E434" s="30"/>
      <c r="F434" s="30"/>
      <c r="G434" s="30"/>
      <c r="H434" s="30"/>
      <c r="I434" s="32"/>
      <c r="J434" s="30"/>
      <c r="K434" s="30"/>
      <c r="L434" s="30"/>
      <c r="M434" s="30"/>
      <c r="N434" s="30"/>
      <c r="O434" s="30"/>
      <c r="P434" s="30"/>
      <c r="Q434" s="30"/>
      <c r="R434" s="30"/>
      <c r="S434" s="30"/>
      <c r="T434" s="30"/>
      <c r="U434" s="30"/>
      <c r="V434" s="30"/>
      <c r="W434" s="30"/>
      <c r="X434" s="30"/>
      <c r="Y434" s="30"/>
      <c r="Z434" s="30"/>
      <c r="AA434" s="30"/>
      <c r="AB434" s="30"/>
      <c r="AC434" s="30"/>
    </row>
    <row r="435" ht="39.75" customHeight="1">
      <c r="A435" s="30"/>
      <c r="B435" s="31"/>
      <c r="C435" s="30"/>
      <c r="D435" s="30"/>
      <c r="E435" s="30"/>
      <c r="F435" s="30"/>
      <c r="G435" s="30"/>
      <c r="H435" s="30"/>
      <c r="I435" s="32"/>
      <c r="J435" s="30"/>
      <c r="K435" s="30"/>
      <c r="L435" s="30"/>
      <c r="M435" s="30"/>
      <c r="N435" s="30"/>
      <c r="O435" s="30"/>
      <c r="P435" s="30"/>
      <c r="Q435" s="30"/>
      <c r="R435" s="30"/>
      <c r="S435" s="30"/>
      <c r="T435" s="30"/>
      <c r="U435" s="30"/>
      <c r="V435" s="30"/>
      <c r="W435" s="30"/>
      <c r="X435" s="30"/>
      <c r="Y435" s="30"/>
      <c r="Z435" s="30"/>
      <c r="AA435" s="30"/>
      <c r="AB435" s="30"/>
      <c r="AC435" s="30"/>
    </row>
    <row r="436" ht="39.75" customHeight="1">
      <c r="A436" s="30"/>
      <c r="B436" s="31"/>
      <c r="C436" s="30"/>
      <c r="D436" s="30"/>
      <c r="E436" s="30"/>
      <c r="F436" s="30"/>
      <c r="G436" s="30"/>
      <c r="H436" s="30"/>
      <c r="I436" s="32"/>
      <c r="J436" s="30"/>
      <c r="K436" s="30"/>
      <c r="L436" s="30"/>
      <c r="M436" s="30"/>
      <c r="N436" s="30"/>
      <c r="O436" s="30"/>
      <c r="P436" s="30"/>
      <c r="Q436" s="30"/>
      <c r="R436" s="30"/>
      <c r="S436" s="30"/>
      <c r="T436" s="30"/>
      <c r="U436" s="30"/>
      <c r="V436" s="30"/>
      <c r="W436" s="30"/>
      <c r="X436" s="30"/>
      <c r="Y436" s="30"/>
      <c r="Z436" s="30"/>
      <c r="AA436" s="30"/>
      <c r="AB436" s="30"/>
      <c r="AC436" s="30"/>
    </row>
    <row r="437" ht="39.75" customHeight="1">
      <c r="A437" s="30"/>
      <c r="B437" s="31"/>
      <c r="C437" s="30"/>
      <c r="D437" s="30"/>
      <c r="E437" s="30"/>
      <c r="F437" s="30"/>
      <c r="G437" s="30"/>
      <c r="H437" s="30"/>
      <c r="I437" s="32"/>
      <c r="J437" s="30"/>
      <c r="K437" s="30"/>
      <c r="L437" s="30"/>
      <c r="M437" s="30"/>
      <c r="N437" s="30"/>
      <c r="O437" s="30"/>
      <c r="P437" s="30"/>
      <c r="Q437" s="30"/>
      <c r="R437" s="30"/>
      <c r="S437" s="30"/>
      <c r="T437" s="30"/>
      <c r="U437" s="30"/>
      <c r="V437" s="30"/>
      <c r="W437" s="30"/>
      <c r="X437" s="30"/>
      <c r="Y437" s="30"/>
      <c r="Z437" s="30"/>
      <c r="AA437" s="30"/>
      <c r="AB437" s="30"/>
      <c r="AC437" s="30"/>
    </row>
    <row r="438" ht="39.75" customHeight="1">
      <c r="A438" s="30"/>
      <c r="B438" s="31"/>
      <c r="C438" s="30"/>
      <c r="D438" s="30"/>
      <c r="E438" s="30"/>
      <c r="F438" s="30"/>
      <c r="G438" s="30"/>
      <c r="H438" s="30"/>
      <c r="I438" s="32"/>
      <c r="J438" s="30"/>
      <c r="K438" s="30"/>
      <c r="L438" s="30"/>
      <c r="M438" s="30"/>
      <c r="N438" s="30"/>
      <c r="O438" s="30"/>
      <c r="P438" s="30"/>
      <c r="Q438" s="30"/>
      <c r="R438" s="30"/>
      <c r="S438" s="30"/>
      <c r="T438" s="30"/>
      <c r="U438" s="30"/>
      <c r="V438" s="30"/>
      <c r="W438" s="30"/>
      <c r="X438" s="30"/>
      <c r="Y438" s="30"/>
      <c r="Z438" s="30"/>
      <c r="AA438" s="30"/>
      <c r="AB438" s="30"/>
      <c r="AC438" s="30"/>
    </row>
    <row r="439" ht="39.75" customHeight="1">
      <c r="A439" s="30"/>
      <c r="B439" s="31"/>
      <c r="C439" s="30"/>
      <c r="D439" s="30"/>
      <c r="E439" s="30"/>
      <c r="F439" s="30"/>
      <c r="G439" s="30"/>
      <c r="H439" s="30"/>
      <c r="I439" s="32"/>
      <c r="J439" s="30"/>
      <c r="K439" s="30"/>
      <c r="L439" s="30"/>
      <c r="M439" s="30"/>
      <c r="N439" s="30"/>
      <c r="O439" s="30"/>
      <c r="P439" s="30"/>
      <c r="Q439" s="30"/>
      <c r="R439" s="30"/>
      <c r="S439" s="30"/>
      <c r="T439" s="30"/>
      <c r="U439" s="30"/>
      <c r="V439" s="30"/>
      <c r="W439" s="30"/>
      <c r="X439" s="30"/>
      <c r="Y439" s="30"/>
      <c r="Z439" s="30"/>
      <c r="AA439" s="30"/>
      <c r="AB439" s="30"/>
      <c r="AC439" s="30"/>
    </row>
    <row r="440" ht="39.75" customHeight="1">
      <c r="A440" s="30"/>
      <c r="B440" s="31"/>
      <c r="C440" s="30"/>
      <c r="D440" s="30"/>
      <c r="E440" s="30"/>
      <c r="F440" s="30"/>
      <c r="G440" s="30"/>
      <c r="H440" s="30"/>
      <c r="I440" s="32"/>
      <c r="J440" s="30"/>
      <c r="K440" s="30"/>
      <c r="L440" s="30"/>
      <c r="M440" s="30"/>
      <c r="N440" s="30"/>
      <c r="O440" s="30"/>
      <c r="P440" s="30"/>
      <c r="Q440" s="30"/>
      <c r="R440" s="30"/>
      <c r="S440" s="30"/>
      <c r="T440" s="30"/>
      <c r="U440" s="30"/>
      <c r="V440" s="30"/>
      <c r="W440" s="30"/>
      <c r="X440" s="30"/>
      <c r="Y440" s="30"/>
      <c r="Z440" s="30"/>
      <c r="AA440" s="30"/>
      <c r="AB440" s="30"/>
      <c r="AC440" s="30"/>
    </row>
    <row r="441" ht="39.75" customHeight="1">
      <c r="A441" s="30"/>
      <c r="B441" s="31"/>
      <c r="C441" s="30"/>
      <c r="D441" s="30"/>
      <c r="E441" s="30"/>
      <c r="F441" s="30"/>
      <c r="G441" s="30"/>
      <c r="H441" s="30"/>
      <c r="I441" s="32"/>
      <c r="J441" s="30"/>
      <c r="K441" s="30"/>
      <c r="L441" s="30"/>
      <c r="M441" s="30"/>
      <c r="N441" s="30"/>
      <c r="O441" s="30"/>
      <c r="P441" s="30"/>
      <c r="Q441" s="30"/>
      <c r="R441" s="30"/>
      <c r="S441" s="30"/>
      <c r="T441" s="30"/>
      <c r="U441" s="30"/>
      <c r="V441" s="30"/>
      <c r="W441" s="30"/>
      <c r="X441" s="30"/>
      <c r="Y441" s="30"/>
      <c r="Z441" s="30"/>
      <c r="AA441" s="30"/>
      <c r="AB441" s="30"/>
      <c r="AC441" s="30"/>
    </row>
    <row r="442" ht="39.75" customHeight="1">
      <c r="A442" s="30"/>
      <c r="B442" s="31"/>
      <c r="C442" s="30"/>
      <c r="D442" s="30"/>
      <c r="E442" s="30"/>
      <c r="F442" s="30"/>
      <c r="G442" s="30"/>
      <c r="H442" s="30"/>
      <c r="I442" s="32"/>
      <c r="J442" s="30"/>
      <c r="K442" s="30"/>
      <c r="L442" s="30"/>
      <c r="M442" s="30"/>
      <c r="N442" s="30"/>
      <c r="O442" s="30"/>
      <c r="P442" s="30"/>
      <c r="Q442" s="30"/>
      <c r="R442" s="30"/>
      <c r="S442" s="30"/>
      <c r="T442" s="30"/>
      <c r="U442" s="30"/>
      <c r="V442" s="30"/>
      <c r="W442" s="30"/>
      <c r="X442" s="30"/>
      <c r="Y442" s="30"/>
      <c r="Z442" s="30"/>
      <c r="AA442" s="30"/>
      <c r="AB442" s="30"/>
      <c r="AC442" s="30"/>
    </row>
    <row r="443" ht="39.75" customHeight="1">
      <c r="A443" s="30"/>
      <c r="B443" s="31"/>
      <c r="C443" s="30"/>
      <c r="D443" s="30"/>
      <c r="E443" s="30"/>
      <c r="F443" s="30"/>
      <c r="G443" s="30"/>
      <c r="H443" s="30"/>
      <c r="I443" s="32"/>
      <c r="J443" s="30"/>
      <c r="K443" s="30"/>
      <c r="L443" s="30"/>
      <c r="M443" s="30"/>
      <c r="N443" s="30"/>
      <c r="O443" s="30"/>
      <c r="P443" s="30"/>
      <c r="Q443" s="30"/>
      <c r="R443" s="30"/>
      <c r="S443" s="30"/>
      <c r="T443" s="30"/>
      <c r="U443" s="30"/>
      <c r="V443" s="30"/>
      <c r="W443" s="30"/>
      <c r="X443" s="30"/>
      <c r="Y443" s="30"/>
      <c r="Z443" s="30"/>
      <c r="AA443" s="30"/>
      <c r="AB443" s="30"/>
      <c r="AC443" s="30"/>
    </row>
    <row r="444" ht="39.75" customHeight="1">
      <c r="A444" s="30"/>
      <c r="B444" s="31"/>
      <c r="C444" s="30"/>
      <c r="D444" s="30"/>
      <c r="E444" s="30"/>
      <c r="F444" s="30"/>
      <c r="G444" s="30"/>
      <c r="H444" s="30"/>
      <c r="I444" s="32"/>
      <c r="J444" s="30"/>
      <c r="K444" s="30"/>
      <c r="L444" s="30"/>
      <c r="M444" s="30"/>
      <c r="N444" s="30"/>
      <c r="O444" s="30"/>
      <c r="P444" s="30"/>
      <c r="Q444" s="30"/>
      <c r="R444" s="30"/>
      <c r="S444" s="30"/>
      <c r="T444" s="30"/>
      <c r="U444" s="30"/>
      <c r="V444" s="30"/>
      <c r="W444" s="30"/>
      <c r="X444" s="30"/>
      <c r="Y444" s="30"/>
      <c r="Z444" s="30"/>
      <c r="AA444" s="30"/>
      <c r="AB444" s="30"/>
      <c r="AC444" s="30"/>
    </row>
    <row r="445" ht="39.75" customHeight="1">
      <c r="A445" s="30"/>
      <c r="B445" s="31"/>
      <c r="C445" s="30"/>
      <c r="D445" s="30"/>
      <c r="E445" s="30"/>
      <c r="F445" s="30"/>
      <c r="G445" s="30"/>
      <c r="H445" s="30"/>
      <c r="I445" s="32"/>
      <c r="J445" s="30"/>
      <c r="K445" s="30"/>
      <c r="L445" s="30"/>
      <c r="M445" s="30"/>
      <c r="N445" s="30"/>
      <c r="O445" s="30"/>
      <c r="P445" s="30"/>
      <c r="Q445" s="30"/>
      <c r="R445" s="30"/>
      <c r="S445" s="30"/>
      <c r="T445" s="30"/>
      <c r="U445" s="30"/>
      <c r="V445" s="30"/>
      <c r="W445" s="30"/>
      <c r="X445" s="30"/>
      <c r="Y445" s="30"/>
      <c r="Z445" s="30"/>
      <c r="AA445" s="30"/>
      <c r="AB445" s="30"/>
      <c r="AC445" s="30"/>
    </row>
    <row r="446" ht="39.75" customHeight="1">
      <c r="A446" s="30"/>
      <c r="B446" s="31"/>
      <c r="C446" s="30"/>
      <c r="D446" s="30"/>
      <c r="E446" s="30"/>
      <c r="F446" s="30"/>
      <c r="G446" s="30"/>
      <c r="H446" s="30"/>
      <c r="I446" s="32"/>
      <c r="J446" s="30"/>
      <c r="K446" s="30"/>
      <c r="L446" s="30"/>
      <c r="M446" s="30"/>
      <c r="N446" s="30"/>
      <c r="O446" s="30"/>
      <c r="P446" s="30"/>
      <c r="Q446" s="30"/>
      <c r="R446" s="30"/>
      <c r="S446" s="30"/>
      <c r="T446" s="30"/>
      <c r="U446" s="30"/>
      <c r="V446" s="30"/>
      <c r="W446" s="30"/>
      <c r="X446" s="30"/>
      <c r="Y446" s="30"/>
      <c r="Z446" s="30"/>
      <c r="AA446" s="30"/>
      <c r="AB446" s="30"/>
      <c r="AC446" s="30"/>
    </row>
    <row r="447" ht="39.75" customHeight="1">
      <c r="A447" s="30"/>
      <c r="B447" s="31"/>
      <c r="C447" s="30"/>
      <c r="D447" s="30"/>
      <c r="E447" s="30"/>
      <c r="F447" s="30"/>
      <c r="G447" s="30"/>
      <c r="H447" s="30"/>
      <c r="I447" s="32"/>
      <c r="J447" s="30"/>
      <c r="K447" s="30"/>
      <c r="L447" s="30"/>
      <c r="M447" s="30"/>
      <c r="N447" s="30"/>
      <c r="O447" s="30"/>
      <c r="P447" s="30"/>
      <c r="Q447" s="30"/>
      <c r="R447" s="30"/>
      <c r="S447" s="30"/>
      <c r="T447" s="30"/>
      <c r="U447" s="30"/>
      <c r="V447" s="30"/>
      <c r="W447" s="30"/>
      <c r="X447" s="30"/>
      <c r="Y447" s="30"/>
      <c r="Z447" s="30"/>
      <c r="AA447" s="30"/>
      <c r="AB447" s="30"/>
      <c r="AC447" s="30"/>
    </row>
    <row r="448" ht="39.75" customHeight="1">
      <c r="A448" s="30"/>
      <c r="B448" s="31"/>
      <c r="C448" s="30"/>
      <c r="D448" s="30"/>
      <c r="E448" s="30"/>
      <c r="F448" s="30"/>
      <c r="G448" s="30"/>
      <c r="H448" s="30"/>
      <c r="I448" s="32"/>
      <c r="J448" s="30"/>
      <c r="K448" s="30"/>
      <c r="L448" s="30"/>
      <c r="M448" s="30"/>
      <c r="N448" s="30"/>
      <c r="O448" s="30"/>
      <c r="P448" s="30"/>
      <c r="Q448" s="30"/>
      <c r="R448" s="30"/>
      <c r="S448" s="30"/>
      <c r="T448" s="30"/>
      <c r="U448" s="30"/>
      <c r="V448" s="30"/>
      <c r="W448" s="30"/>
      <c r="X448" s="30"/>
      <c r="Y448" s="30"/>
      <c r="Z448" s="30"/>
      <c r="AA448" s="30"/>
      <c r="AB448" s="30"/>
      <c r="AC448" s="30"/>
    </row>
    <row r="449" ht="39.75" customHeight="1">
      <c r="A449" s="30"/>
      <c r="B449" s="31"/>
      <c r="C449" s="30"/>
      <c r="D449" s="30"/>
      <c r="E449" s="30"/>
      <c r="F449" s="30"/>
      <c r="G449" s="30"/>
      <c r="H449" s="30"/>
      <c r="I449" s="32"/>
      <c r="J449" s="30"/>
      <c r="K449" s="30"/>
      <c r="L449" s="30"/>
      <c r="M449" s="30"/>
      <c r="N449" s="30"/>
      <c r="O449" s="30"/>
      <c r="P449" s="30"/>
      <c r="Q449" s="30"/>
      <c r="R449" s="30"/>
      <c r="S449" s="30"/>
      <c r="T449" s="30"/>
      <c r="U449" s="30"/>
      <c r="V449" s="30"/>
      <c r="W449" s="30"/>
      <c r="X449" s="30"/>
      <c r="Y449" s="30"/>
      <c r="Z449" s="30"/>
      <c r="AA449" s="30"/>
      <c r="AB449" s="30"/>
      <c r="AC449" s="30"/>
    </row>
    <row r="450" ht="39.75" customHeight="1">
      <c r="A450" s="30"/>
      <c r="B450" s="31"/>
      <c r="C450" s="30"/>
      <c r="D450" s="30"/>
      <c r="E450" s="30"/>
      <c r="F450" s="30"/>
      <c r="G450" s="30"/>
      <c r="H450" s="30"/>
      <c r="I450" s="32"/>
      <c r="J450" s="30"/>
      <c r="K450" s="30"/>
      <c r="L450" s="30"/>
      <c r="M450" s="30"/>
      <c r="N450" s="30"/>
      <c r="O450" s="30"/>
      <c r="P450" s="30"/>
      <c r="Q450" s="30"/>
      <c r="R450" s="30"/>
      <c r="S450" s="30"/>
      <c r="T450" s="30"/>
      <c r="U450" s="30"/>
      <c r="V450" s="30"/>
      <c r="W450" s="30"/>
      <c r="X450" s="30"/>
      <c r="Y450" s="30"/>
      <c r="Z450" s="30"/>
      <c r="AA450" s="30"/>
      <c r="AB450" s="30"/>
      <c r="AC450" s="30"/>
    </row>
    <row r="451" ht="39.75" customHeight="1">
      <c r="A451" s="30"/>
      <c r="B451" s="31"/>
      <c r="C451" s="30"/>
      <c r="D451" s="30"/>
      <c r="E451" s="30"/>
      <c r="F451" s="30"/>
      <c r="G451" s="30"/>
      <c r="H451" s="30"/>
      <c r="I451" s="32"/>
      <c r="J451" s="30"/>
      <c r="K451" s="30"/>
      <c r="L451" s="30"/>
      <c r="M451" s="30"/>
      <c r="N451" s="30"/>
      <c r="O451" s="30"/>
      <c r="P451" s="30"/>
      <c r="Q451" s="30"/>
      <c r="R451" s="30"/>
      <c r="S451" s="30"/>
      <c r="T451" s="30"/>
      <c r="U451" s="30"/>
      <c r="V451" s="30"/>
      <c r="W451" s="30"/>
      <c r="X451" s="30"/>
      <c r="Y451" s="30"/>
      <c r="Z451" s="30"/>
      <c r="AA451" s="30"/>
      <c r="AB451" s="30"/>
      <c r="AC451" s="30"/>
    </row>
    <row r="452" ht="39.75" customHeight="1">
      <c r="A452" s="30"/>
      <c r="B452" s="31"/>
      <c r="C452" s="30"/>
      <c r="D452" s="30"/>
      <c r="E452" s="30"/>
      <c r="F452" s="30"/>
      <c r="G452" s="30"/>
      <c r="H452" s="30"/>
      <c r="I452" s="32"/>
      <c r="J452" s="30"/>
      <c r="K452" s="30"/>
      <c r="L452" s="30"/>
      <c r="M452" s="30"/>
      <c r="N452" s="30"/>
      <c r="O452" s="30"/>
      <c r="P452" s="30"/>
      <c r="Q452" s="30"/>
      <c r="R452" s="30"/>
      <c r="S452" s="30"/>
      <c r="T452" s="30"/>
      <c r="U452" s="30"/>
      <c r="V452" s="30"/>
      <c r="W452" s="30"/>
      <c r="X452" s="30"/>
      <c r="Y452" s="30"/>
      <c r="Z452" s="30"/>
      <c r="AA452" s="30"/>
      <c r="AB452" s="30"/>
      <c r="AC452" s="30"/>
    </row>
    <row r="453" ht="39.75" customHeight="1">
      <c r="A453" s="30"/>
      <c r="B453" s="31"/>
      <c r="C453" s="30"/>
      <c r="D453" s="30"/>
      <c r="E453" s="30"/>
      <c r="F453" s="30"/>
      <c r="G453" s="30"/>
      <c r="H453" s="30"/>
      <c r="I453" s="32"/>
      <c r="J453" s="30"/>
      <c r="K453" s="30"/>
      <c r="L453" s="30"/>
      <c r="M453" s="30"/>
      <c r="N453" s="30"/>
      <c r="O453" s="30"/>
      <c r="P453" s="30"/>
      <c r="Q453" s="30"/>
      <c r="R453" s="30"/>
      <c r="S453" s="30"/>
      <c r="T453" s="30"/>
      <c r="U453" s="30"/>
      <c r="V453" s="30"/>
      <c r="W453" s="30"/>
      <c r="X453" s="30"/>
      <c r="Y453" s="30"/>
      <c r="Z453" s="30"/>
      <c r="AA453" s="30"/>
      <c r="AB453" s="30"/>
      <c r="AC453" s="30"/>
    </row>
    <row r="454" ht="39.75" customHeight="1">
      <c r="A454" s="30"/>
      <c r="B454" s="31"/>
      <c r="C454" s="30"/>
      <c r="D454" s="30"/>
      <c r="E454" s="30"/>
      <c r="F454" s="30"/>
      <c r="G454" s="30"/>
      <c r="H454" s="30"/>
      <c r="I454" s="32"/>
      <c r="J454" s="30"/>
      <c r="K454" s="30"/>
      <c r="L454" s="30"/>
      <c r="M454" s="30"/>
      <c r="N454" s="30"/>
      <c r="O454" s="30"/>
      <c r="P454" s="30"/>
      <c r="Q454" s="30"/>
      <c r="R454" s="30"/>
      <c r="S454" s="30"/>
      <c r="T454" s="30"/>
      <c r="U454" s="30"/>
      <c r="V454" s="30"/>
      <c r="W454" s="30"/>
      <c r="X454" s="30"/>
      <c r="Y454" s="30"/>
      <c r="Z454" s="30"/>
      <c r="AA454" s="30"/>
      <c r="AB454" s="30"/>
      <c r="AC454" s="30"/>
    </row>
    <row r="455" ht="39.75" customHeight="1">
      <c r="A455" s="30"/>
      <c r="B455" s="31"/>
      <c r="C455" s="30"/>
      <c r="D455" s="30"/>
      <c r="E455" s="30"/>
      <c r="F455" s="30"/>
      <c r="G455" s="30"/>
      <c r="H455" s="30"/>
      <c r="I455" s="32"/>
      <c r="J455" s="30"/>
      <c r="K455" s="30"/>
      <c r="L455" s="30"/>
      <c r="M455" s="30"/>
      <c r="N455" s="30"/>
      <c r="O455" s="30"/>
      <c r="P455" s="30"/>
      <c r="Q455" s="30"/>
      <c r="R455" s="30"/>
      <c r="S455" s="30"/>
      <c r="T455" s="30"/>
      <c r="U455" s="30"/>
      <c r="V455" s="30"/>
      <c r="W455" s="30"/>
      <c r="X455" s="30"/>
      <c r="Y455" s="30"/>
      <c r="Z455" s="30"/>
      <c r="AA455" s="30"/>
      <c r="AB455" s="30"/>
      <c r="AC455" s="30"/>
    </row>
    <row r="456" ht="39.75" customHeight="1">
      <c r="A456" s="30"/>
      <c r="B456" s="31"/>
      <c r="C456" s="30"/>
      <c r="D456" s="30"/>
      <c r="E456" s="30"/>
      <c r="F456" s="30"/>
      <c r="G456" s="30"/>
      <c r="H456" s="30"/>
      <c r="I456" s="32"/>
      <c r="J456" s="30"/>
      <c r="K456" s="30"/>
      <c r="L456" s="30"/>
      <c r="M456" s="30"/>
      <c r="N456" s="30"/>
      <c r="O456" s="30"/>
      <c r="P456" s="30"/>
      <c r="Q456" s="30"/>
      <c r="R456" s="30"/>
      <c r="S456" s="30"/>
      <c r="T456" s="30"/>
      <c r="U456" s="30"/>
      <c r="V456" s="30"/>
      <c r="W456" s="30"/>
      <c r="X456" s="30"/>
      <c r="Y456" s="30"/>
      <c r="Z456" s="30"/>
      <c r="AA456" s="30"/>
      <c r="AB456" s="30"/>
      <c r="AC456" s="30"/>
    </row>
    <row r="457" ht="39.75" customHeight="1">
      <c r="A457" s="30"/>
      <c r="B457" s="31"/>
      <c r="C457" s="30"/>
      <c r="D457" s="30"/>
      <c r="E457" s="30"/>
      <c r="F457" s="30"/>
      <c r="G457" s="30"/>
      <c r="H457" s="30"/>
      <c r="I457" s="32"/>
      <c r="J457" s="30"/>
      <c r="K457" s="30"/>
      <c r="L457" s="30"/>
      <c r="M457" s="30"/>
      <c r="N457" s="30"/>
      <c r="O457" s="30"/>
      <c r="P457" s="30"/>
      <c r="Q457" s="30"/>
      <c r="R457" s="30"/>
      <c r="S457" s="30"/>
      <c r="T457" s="30"/>
      <c r="U457" s="30"/>
      <c r="V457" s="30"/>
      <c r="W457" s="30"/>
      <c r="X457" s="30"/>
      <c r="Y457" s="30"/>
      <c r="Z457" s="30"/>
      <c r="AA457" s="30"/>
      <c r="AB457" s="30"/>
      <c r="AC457" s="30"/>
    </row>
    <row r="458" ht="39.75" customHeight="1">
      <c r="A458" s="30"/>
      <c r="B458" s="31"/>
      <c r="C458" s="30"/>
      <c r="D458" s="30"/>
      <c r="E458" s="30"/>
      <c r="F458" s="30"/>
      <c r="G458" s="30"/>
      <c r="H458" s="30"/>
      <c r="I458" s="32"/>
      <c r="J458" s="30"/>
      <c r="K458" s="30"/>
      <c r="L458" s="30"/>
      <c r="M458" s="30"/>
      <c r="N458" s="30"/>
      <c r="O458" s="30"/>
      <c r="P458" s="30"/>
      <c r="Q458" s="30"/>
      <c r="R458" s="30"/>
      <c r="S458" s="30"/>
      <c r="T458" s="30"/>
      <c r="U458" s="30"/>
      <c r="V458" s="30"/>
      <c r="W458" s="30"/>
      <c r="X458" s="30"/>
      <c r="Y458" s="30"/>
      <c r="Z458" s="30"/>
      <c r="AA458" s="30"/>
      <c r="AB458" s="30"/>
      <c r="AC458" s="30"/>
    </row>
    <row r="459" ht="39.75" customHeight="1">
      <c r="A459" s="30"/>
      <c r="B459" s="31"/>
      <c r="C459" s="30"/>
      <c r="D459" s="30"/>
      <c r="E459" s="30"/>
      <c r="F459" s="30"/>
      <c r="G459" s="30"/>
      <c r="H459" s="30"/>
      <c r="I459" s="32"/>
      <c r="J459" s="30"/>
      <c r="K459" s="30"/>
      <c r="L459" s="30"/>
      <c r="M459" s="30"/>
      <c r="N459" s="30"/>
      <c r="O459" s="30"/>
      <c r="P459" s="30"/>
      <c r="Q459" s="30"/>
      <c r="R459" s="30"/>
      <c r="S459" s="30"/>
      <c r="T459" s="30"/>
      <c r="U459" s="30"/>
      <c r="V459" s="30"/>
      <c r="W459" s="30"/>
      <c r="X459" s="30"/>
      <c r="Y459" s="30"/>
      <c r="Z459" s="30"/>
      <c r="AA459" s="30"/>
      <c r="AB459" s="30"/>
      <c r="AC459" s="30"/>
    </row>
    <row r="460" ht="39.75" customHeight="1">
      <c r="A460" s="30"/>
      <c r="B460" s="31"/>
      <c r="C460" s="30"/>
      <c r="D460" s="30"/>
      <c r="E460" s="30"/>
      <c r="F460" s="30"/>
      <c r="G460" s="30"/>
      <c r="H460" s="30"/>
      <c r="I460" s="32"/>
      <c r="J460" s="30"/>
      <c r="K460" s="30"/>
      <c r="L460" s="30"/>
      <c r="M460" s="30"/>
      <c r="N460" s="30"/>
      <c r="O460" s="30"/>
      <c r="P460" s="30"/>
      <c r="Q460" s="30"/>
      <c r="R460" s="30"/>
      <c r="S460" s="30"/>
      <c r="T460" s="30"/>
      <c r="U460" s="30"/>
      <c r="V460" s="30"/>
      <c r="W460" s="30"/>
      <c r="X460" s="30"/>
      <c r="Y460" s="30"/>
      <c r="Z460" s="30"/>
      <c r="AA460" s="30"/>
      <c r="AB460" s="30"/>
      <c r="AC460" s="30"/>
    </row>
    <row r="461" ht="39.75" customHeight="1">
      <c r="A461" s="30"/>
      <c r="B461" s="31"/>
      <c r="C461" s="30"/>
      <c r="D461" s="30"/>
      <c r="E461" s="30"/>
      <c r="F461" s="30"/>
      <c r="G461" s="30"/>
      <c r="H461" s="30"/>
      <c r="I461" s="32"/>
      <c r="J461" s="30"/>
      <c r="K461" s="30"/>
      <c r="L461" s="30"/>
      <c r="M461" s="30"/>
      <c r="N461" s="30"/>
      <c r="O461" s="30"/>
      <c r="P461" s="30"/>
      <c r="Q461" s="30"/>
      <c r="R461" s="30"/>
      <c r="S461" s="30"/>
      <c r="T461" s="30"/>
      <c r="U461" s="30"/>
      <c r="V461" s="30"/>
      <c r="W461" s="30"/>
      <c r="X461" s="30"/>
      <c r="Y461" s="30"/>
      <c r="Z461" s="30"/>
      <c r="AA461" s="30"/>
      <c r="AB461" s="30"/>
      <c r="AC461" s="30"/>
    </row>
    <row r="462" ht="39.75" customHeight="1">
      <c r="A462" s="30"/>
      <c r="B462" s="31"/>
      <c r="C462" s="30"/>
      <c r="D462" s="30"/>
      <c r="E462" s="30"/>
      <c r="F462" s="30"/>
      <c r="G462" s="30"/>
      <c r="H462" s="30"/>
      <c r="I462" s="32"/>
      <c r="J462" s="30"/>
      <c r="K462" s="30"/>
      <c r="L462" s="30"/>
      <c r="M462" s="30"/>
      <c r="N462" s="30"/>
      <c r="O462" s="30"/>
      <c r="P462" s="30"/>
      <c r="Q462" s="30"/>
      <c r="R462" s="30"/>
      <c r="S462" s="30"/>
      <c r="T462" s="30"/>
      <c r="U462" s="30"/>
      <c r="V462" s="30"/>
      <c r="W462" s="30"/>
      <c r="X462" s="30"/>
      <c r="Y462" s="30"/>
      <c r="Z462" s="30"/>
      <c r="AA462" s="30"/>
      <c r="AB462" s="30"/>
      <c r="AC462" s="30"/>
    </row>
    <row r="463" ht="39.75" customHeight="1">
      <c r="A463" s="30"/>
      <c r="B463" s="31"/>
      <c r="C463" s="30"/>
      <c r="D463" s="30"/>
      <c r="E463" s="30"/>
      <c r="F463" s="30"/>
      <c r="G463" s="30"/>
      <c r="H463" s="30"/>
      <c r="I463" s="32"/>
      <c r="J463" s="30"/>
      <c r="K463" s="30"/>
      <c r="L463" s="30"/>
      <c r="M463" s="30"/>
      <c r="N463" s="30"/>
      <c r="O463" s="30"/>
      <c r="P463" s="30"/>
      <c r="Q463" s="30"/>
      <c r="R463" s="30"/>
      <c r="S463" s="30"/>
      <c r="T463" s="30"/>
      <c r="U463" s="30"/>
      <c r="V463" s="30"/>
      <c r="W463" s="30"/>
      <c r="X463" s="30"/>
      <c r="Y463" s="30"/>
      <c r="Z463" s="30"/>
      <c r="AA463" s="30"/>
      <c r="AB463" s="30"/>
      <c r="AC463" s="30"/>
    </row>
    <row r="464" ht="39.75" customHeight="1">
      <c r="A464" s="30"/>
      <c r="B464" s="31"/>
      <c r="C464" s="30"/>
      <c r="D464" s="30"/>
      <c r="E464" s="30"/>
      <c r="F464" s="30"/>
      <c r="G464" s="30"/>
      <c r="H464" s="30"/>
      <c r="I464" s="32"/>
      <c r="J464" s="30"/>
      <c r="K464" s="30"/>
      <c r="L464" s="30"/>
      <c r="M464" s="30"/>
      <c r="N464" s="30"/>
      <c r="O464" s="30"/>
      <c r="P464" s="30"/>
      <c r="Q464" s="30"/>
      <c r="R464" s="30"/>
      <c r="S464" s="30"/>
      <c r="T464" s="30"/>
      <c r="U464" s="30"/>
      <c r="V464" s="30"/>
      <c r="W464" s="30"/>
      <c r="X464" s="30"/>
      <c r="Y464" s="30"/>
      <c r="Z464" s="30"/>
      <c r="AA464" s="30"/>
      <c r="AB464" s="30"/>
      <c r="AC464" s="30"/>
    </row>
    <row r="465" ht="39.75" customHeight="1">
      <c r="A465" s="30"/>
      <c r="B465" s="31"/>
      <c r="C465" s="30"/>
      <c r="D465" s="30"/>
      <c r="E465" s="30"/>
      <c r="F465" s="30"/>
      <c r="G465" s="30"/>
      <c r="H465" s="30"/>
      <c r="I465" s="32"/>
      <c r="J465" s="30"/>
      <c r="K465" s="30"/>
      <c r="L465" s="30"/>
      <c r="M465" s="30"/>
      <c r="N465" s="30"/>
      <c r="O465" s="30"/>
      <c r="P465" s="30"/>
      <c r="Q465" s="30"/>
      <c r="R465" s="30"/>
      <c r="S465" s="30"/>
      <c r="T465" s="30"/>
      <c r="U465" s="30"/>
      <c r="V465" s="30"/>
      <c r="W465" s="30"/>
      <c r="X465" s="30"/>
      <c r="Y465" s="30"/>
      <c r="Z465" s="30"/>
      <c r="AA465" s="30"/>
      <c r="AB465" s="30"/>
      <c r="AC465" s="30"/>
    </row>
    <row r="466" ht="39.75" customHeight="1">
      <c r="A466" s="30"/>
      <c r="B466" s="31"/>
      <c r="C466" s="30"/>
      <c r="D466" s="30"/>
      <c r="E466" s="30"/>
      <c r="F466" s="30"/>
      <c r="G466" s="30"/>
      <c r="H466" s="30"/>
      <c r="I466" s="32"/>
      <c r="J466" s="30"/>
      <c r="K466" s="30"/>
      <c r="L466" s="30"/>
      <c r="M466" s="30"/>
      <c r="N466" s="30"/>
      <c r="O466" s="30"/>
      <c r="P466" s="30"/>
      <c r="Q466" s="30"/>
      <c r="R466" s="30"/>
      <c r="S466" s="30"/>
      <c r="T466" s="30"/>
      <c r="U466" s="30"/>
      <c r="V466" s="30"/>
      <c r="W466" s="30"/>
      <c r="X466" s="30"/>
      <c r="Y466" s="30"/>
      <c r="Z466" s="30"/>
      <c r="AA466" s="30"/>
      <c r="AB466" s="30"/>
      <c r="AC466" s="30"/>
    </row>
    <row r="467" ht="39.75" customHeight="1">
      <c r="A467" s="30"/>
      <c r="B467" s="31"/>
      <c r="C467" s="30"/>
      <c r="D467" s="30"/>
      <c r="E467" s="30"/>
      <c r="F467" s="30"/>
      <c r="G467" s="30"/>
      <c r="H467" s="30"/>
      <c r="I467" s="32"/>
      <c r="J467" s="30"/>
      <c r="K467" s="30"/>
      <c r="L467" s="30"/>
      <c r="M467" s="30"/>
      <c r="N467" s="30"/>
      <c r="O467" s="30"/>
      <c r="P467" s="30"/>
      <c r="Q467" s="30"/>
      <c r="R467" s="30"/>
      <c r="S467" s="30"/>
      <c r="T467" s="30"/>
      <c r="U467" s="30"/>
      <c r="V467" s="30"/>
      <c r="W467" s="30"/>
      <c r="X467" s="30"/>
      <c r="Y467" s="30"/>
      <c r="Z467" s="30"/>
      <c r="AA467" s="30"/>
      <c r="AB467" s="30"/>
      <c r="AC467" s="30"/>
    </row>
    <row r="468" ht="39.75" customHeight="1">
      <c r="A468" s="30"/>
      <c r="B468" s="31"/>
      <c r="C468" s="30"/>
      <c r="D468" s="30"/>
      <c r="E468" s="30"/>
      <c r="F468" s="30"/>
      <c r="G468" s="30"/>
      <c r="H468" s="30"/>
      <c r="I468" s="32"/>
      <c r="J468" s="30"/>
      <c r="K468" s="30"/>
      <c r="L468" s="30"/>
      <c r="M468" s="30"/>
      <c r="N468" s="30"/>
      <c r="O468" s="30"/>
      <c r="P468" s="30"/>
      <c r="Q468" s="30"/>
      <c r="R468" s="30"/>
      <c r="S468" s="30"/>
      <c r="T468" s="30"/>
      <c r="U468" s="30"/>
      <c r="V468" s="30"/>
      <c r="W468" s="30"/>
      <c r="X468" s="30"/>
      <c r="Y468" s="30"/>
      <c r="Z468" s="30"/>
      <c r="AA468" s="30"/>
      <c r="AB468" s="30"/>
      <c r="AC468" s="30"/>
    </row>
    <row r="469" ht="39.75" customHeight="1">
      <c r="A469" s="30"/>
      <c r="B469" s="31"/>
      <c r="C469" s="30"/>
      <c r="D469" s="30"/>
      <c r="E469" s="30"/>
      <c r="F469" s="30"/>
      <c r="G469" s="30"/>
      <c r="H469" s="30"/>
      <c r="I469" s="32"/>
      <c r="J469" s="30"/>
      <c r="K469" s="30"/>
      <c r="L469" s="30"/>
      <c r="M469" s="30"/>
      <c r="N469" s="30"/>
      <c r="O469" s="30"/>
      <c r="P469" s="30"/>
      <c r="Q469" s="30"/>
      <c r="R469" s="30"/>
      <c r="S469" s="30"/>
      <c r="T469" s="30"/>
      <c r="U469" s="30"/>
      <c r="V469" s="30"/>
      <c r="W469" s="30"/>
      <c r="X469" s="30"/>
      <c r="Y469" s="30"/>
      <c r="Z469" s="30"/>
      <c r="AA469" s="30"/>
      <c r="AB469" s="30"/>
      <c r="AC469" s="30"/>
    </row>
    <row r="470" ht="39.75" customHeight="1">
      <c r="A470" s="30"/>
      <c r="B470" s="31"/>
      <c r="C470" s="30"/>
      <c r="D470" s="30"/>
      <c r="E470" s="30"/>
      <c r="F470" s="30"/>
      <c r="G470" s="30"/>
      <c r="H470" s="30"/>
      <c r="I470" s="32"/>
      <c r="J470" s="30"/>
      <c r="K470" s="30"/>
      <c r="L470" s="30"/>
      <c r="M470" s="30"/>
      <c r="N470" s="30"/>
      <c r="O470" s="30"/>
      <c r="P470" s="30"/>
      <c r="Q470" s="30"/>
      <c r="R470" s="30"/>
      <c r="S470" s="30"/>
      <c r="T470" s="30"/>
      <c r="U470" s="30"/>
      <c r="V470" s="30"/>
      <c r="W470" s="30"/>
      <c r="X470" s="30"/>
      <c r="Y470" s="30"/>
      <c r="Z470" s="30"/>
      <c r="AA470" s="30"/>
      <c r="AB470" s="30"/>
      <c r="AC470" s="30"/>
    </row>
    <row r="471" ht="39.75" customHeight="1">
      <c r="A471" s="30"/>
      <c r="B471" s="31"/>
      <c r="C471" s="30"/>
      <c r="D471" s="30"/>
      <c r="E471" s="30"/>
      <c r="F471" s="30"/>
      <c r="G471" s="30"/>
      <c r="H471" s="30"/>
      <c r="I471" s="32"/>
      <c r="J471" s="30"/>
      <c r="K471" s="30"/>
      <c r="L471" s="30"/>
      <c r="M471" s="30"/>
      <c r="N471" s="30"/>
      <c r="O471" s="30"/>
      <c r="P471" s="30"/>
      <c r="Q471" s="30"/>
      <c r="R471" s="30"/>
      <c r="S471" s="30"/>
      <c r="T471" s="30"/>
      <c r="U471" s="30"/>
      <c r="V471" s="30"/>
      <c r="W471" s="30"/>
      <c r="X471" s="30"/>
      <c r="Y471" s="30"/>
      <c r="Z471" s="30"/>
      <c r="AA471" s="30"/>
      <c r="AB471" s="30"/>
      <c r="AC471" s="30"/>
    </row>
    <row r="472" ht="39.75" customHeight="1">
      <c r="A472" s="30"/>
      <c r="B472" s="31"/>
      <c r="C472" s="30"/>
      <c r="D472" s="30"/>
      <c r="E472" s="30"/>
      <c r="F472" s="30"/>
      <c r="G472" s="30"/>
      <c r="H472" s="30"/>
      <c r="I472" s="32"/>
      <c r="J472" s="30"/>
      <c r="K472" s="30"/>
      <c r="L472" s="30"/>
      <c r="M472" s="30"/>
      <c r="N472" s="30"/>
      <c r="O472" s="30"/>
      <c r="P472" s="30"/>
      <c r="Q472" s="30"/>
      <c r="R472" s="30"/>
      <c r="S472" s="30"/>
      <c r="T472" s="30"/>
      <c r="U472" s="30"/>
      <c r="V472" s="30"/>
      <c r="W472" s="30"/>
      <c r="X472" s="30"/>
      <c r="Y472" s="30"/>
      <c r="Z472" s="30"/>
      <c r="AA472" s="30"/>
      <c r="AB472" s="30"/>
      <c r="AC472" s="30"/>
    </row>
    <row r="473" ht="39.75" customHeight="1">
      <c r="A473" s="30"/>
      <c r="B473" s="31"/>
      <c r="C473" s="30"/>
      <c r="D473" s="30"/>
      <c r="E473" s="30"/>
      <c r="F473" s="30"/>
      <c r="G473" s="30"/>
      <c r="H473" s="30"/>
      <c r="I473" s="32"/>
      <c r="J473" s="30"/>
      <c r="K473" s="30"/>
      <c r="L473" s="30"/>
      <c r="M473" s="30"/>
      <c r="N473" s="30"/>
      <c r="O473" s="30"/>
      <c r="P473" s="30"/>
      <c r="Q473" s="30"/>
      <c r="R473" s="30"/>
      <c r="S473" s="30"/>
      <c r="T473" s="30"/>
      <c r="U473" s="30"/>
      <c r="V473" s="30"/>
      <c r="W473" s="30"/>
      <c r="X473" s="30"/>
      <c r="Y473" s="30"/>
      <c r="Z473" s="30"/>
      <c r="AA473" s="30"/>
      <c r="AB473" s="30"/>
      <c r="AC473" s="30"/>
    </row>
    <row r="474" ht="39.75" customHeight="1">
      <c r="A474" s="30"/>
      <c r="B474" s="31"/>
      <c r="C474" s="30"/>
      <c r="D474" s="30"/>
      <c r="E474" s="30"/>
      <c r="F474" s="30"/>
      <c r="G474" s="30"/>
      <c r="H474" s="30"/>
      <c r="I474" s="32"/>
      <c r="J474" s="30"/>
      <c r="K474" s="30"/>
      <c r="L474" s="30"/>
      <c r="M474" s="30"/>
      <c r="N474" s="30"/>
      <c r="O474" s="30"/>
      <c r="P474" s="30"/>
      <c r="Q474" s="30"/>
      <c r="R474" s="30"/>
      <c r="S474" s="30"/>
      <c r="T474" s="30"/>
      <c r="U474" s="30"/>
      <c r="V474" s="30"/>
      <c r="W474" s="30"/>
      <c r="X474" s="30"/>
      <c r="Y474" s="30"/>
      <c r="Z474" s="30"/>
      <c r="AA474" s="30"/>
      <c r="AB474" s="30"/>
      <c r="AC474" s="30"/>
    </row>
    <row r="475" ht="39.75" customHeight="1">
      <c r="A475" s="30"/>
      <c r="B475" s="31"/>
      <c r="C475" s="30"/>
      <c r="D475" s="30"/>
      <c r="E475" s="30"/>
      <c r="F475" s="30"/>
      <c r="G475" s="30"/>
      <c r="H475" s="30"/>
      <c r="I475" s="32"/>
      <c r="J475" s="30"/>
      <c r="K475" s="30"/>
      <c r="L475" s="30"/>
      <c r="M475" s="30"/>
      <c r="N475" s="30"/>
      <c r="O475" s="30"/>
      <c r="P475" s="30"/>
      <c r="Q475" s="30"/>
      <c r="R475" s="30"/>
      <c r="S475" s="30"/>
      <c r="T475" s="30"/>
      <c r="U475" s="30"/>
      <c r="V475" s="30"/>
      <c r="W475" s="30"/>
      <c r="X475" s="30"/>
      <c r="Y475" s="30"/>
      <c r="Z475" s="30"/>
      <c r="AA475" s="30"/>
      <c r="AB475" s="30"/>
      <c r="AC475" s="30"/>
    </row>
    <row r="476" ht="39.75" customHeight="1">
      <c r="A476" s="30"/>
      <c r="B476" s="31"/>
      <c r="C476" s="30"/>
      <c r="D476" s="30"/>
      <c r="E476" s="30"/>
      <c r="F476" s="30"/>
      <c r="G476" s="30"/>
      <c r="H476" s="30"/>
      <c r="I476" s="32"/>
      <c r="J476" s="30"/>
      <c r="K476" s="30"/>
      <c r="L476" s="30"/>
      <c r="M476" s="30"/>
      <c r="N476" s="30"/>
      <c r="O476" s="30"/>
      <c r="P476" s="30"/>
      <c r="Q476" s="30"/>
      <c r="R476" s="30"/>
      <c r="S476" s="30"/>
      <c r="T476" s="30"/>
      <c r="U476" s="30"/>
      <c r="V476" s="30"/>
      <c r="W476" s="30"/>
      <c r="X476" s="30"/>
      <c r="Y476" s="30"/>
      <c r="Z476" s="30"/>
      <c r="AA476" s="30"/>
      <c r="AB476" s="30"/>
      <c r="AC476" s="30"/>
    </row>
    <row r="477" ht="39.75" customHeight="1">
      <c r="A477" s="30"/>
      <c r="B477" s="31"/>
      <c r="C477" s="30"/>
      <c r="D477" s="30"/>
      <c r="E477" s="30"/>
      <c r="F477" s="30"/>
      <c r="G477" s="30"/>
      <c r="H477" s="30"/>
      <c r="I477" s="32"/>
      <c r="J477" s="30"/>
      <c r="K477" s="30"/>
      <c r="L477" s="30"/>
      <c r="M477" s="30"/>
      <c r="N477" s="30"/>
      <c r="O477" s="30"/>
      <c r="P477" s="30"/>
      <c r="Q477" s="30"/>
      <c r="R477" s="30"/>
      <c r="S477" s="30"/>
      <c r="T477" s="30"/>
      <c r="U477" s="30"/>
      <c r="V477" s="30"/>
      <c r="W477" s="30"/>
      <c r="X477" s="30"/>
      <c r="Y477" s="30"/>
      <c r="Z477" s="30"/>
      <c r="AA477" s="30"/>
      <c r="AB477" s="30"/>
      <c r="AC477" s="30"/>
    </row>
    <row r="478" ht="39.75" customHeight="1">
      <c r="A478" s="30"/>
      <c r="B478" s="31"/>
      <c r="C478" s="30"/>
      <c r="D478" s="30"/>
      <c r="E478" s="30"/>
      <c r="F478" s="30"/>
      <c r="G478" s="30"/>
      <c r="H478" s="30"/>
      <c r="I478" s="32"/>
      <c r="J478" s="30"/>
      <c r="K478" s="30"/>
      <c r="L478" s="30"/>
      <c r="M478" s="30"/>
      <c r="N478" s="30"/>
      <c r="O478" s="30"/>
      <c r="P478" s="30"/>
      <c r="Q478" s="30"/>
      <c r="R478" s="30"/>
      <c r="S478" s="30"/>
      <c r="T478" s="30"/>
      <c r="U478" s="30"/>
      <c r="V478" s="30"/>
      <c r="W478" s="30"/>
      <c r="X478" s="30"/>
      <c r="Y478" s="30"/>
      <c r="Z478" s="30"/>
      <c r="AA478" s="30"/>
      <c r="AB478" s="30"/>
      <c r="AC478" s="30"/>
    </row>
    <row r="479" ht="39.75" customHeight="1">
      <c r="A479" s="30"/>
      <c r="B479" s="31"/>
      <c r="C479" s="30"/>
      <c r="D479" s="30"/>
      <c r="E479" s="30"/>
      <c r="F479" s="30"/>
      <c r="G479" s="30"/>
      <c r="H479" s="30"/>
      <c r="I479" s="32"/>
      <c r="J479" s="30"/>
      <c r="K479" s="30"/>
      <c r="L479" s="30"/>
      <c r="M479" s="30"/>
      <c r="N479" s="30"/>
      <c r="O479" s="30"/>
      <c r="P479" s="30"/>
      <c r="Q479" s="30"/>
      <c r="R479" s="30"/>
      <c r="S479" s="30"/>
      <c r="T479" s="30"/>
      <c r="U479" s="30"/>
      <c r="V479" s="30"/>
      <c r="W479" s="30"/>
      <c r="X479" s="30"/>
      <c r="Y479" s="30"/>
      <c r="Z479" s="30"/>
      <c r="AA479" s="30"/>
      <c r="AB479" s="30"/>
      <c r="AC479" s="30"/>
    </row>
    <row r="480" ht="39.75" customHeight="1">
      <c r="A480" s="30"/>
      <c r="B480" s="31"/>
      <c r="C480" s="30"/>
      <c r="D480" s="30"/>
      <c r="E480" s="30"/>
      <c r="F480" s="30"/>
      <c r="G480" s="30"/>
      <c r="H480" s="30"/>
      <c r="I480" s="32"/>
      <c r="J480" s="30"/>
      <c r="K480" s="30"/>
      <c r="L480" s="30"/>
      <c r="M480" s="30"/>
      <c r="N480" s="30"/>
      <c r="O480" s="30"/>
      <c r="P480" s="30"/>
      <c r="Q480" s="30"/>
      <c r="R480" s="30"/>
      <c r="S480" s="30"/>
      <c r="T480" s="30"/>
      <c r="U480" s="30"/>
      <c r="V480" s="30"/>
      <c r="W480" s="30"/>
      <c r="X480" s="30"/>
      <c r="Y480" s="30"/>
      <c r="Z480" s="30"/>
      <c r="AA480" s="30"/>
      <c r="AB480" s="30"/>
      <c r="AC480" s="30"/>
    </row>
    <row r="481" ht="39.75" customHeight="1">
      <c r="A481" s="30"/>
      <c r="B481" s="31"/>
      <c r="C481" s="30"/>
      <c r="D481" s="30"/>
      <c r="E481" s="30"/>
      <c r="F481" s="30"/>
      <c r="G481" s="30"/>
      <c r="H481" s="30"/>
      <c r="I481" s="32"/>
      <c r="J481" s="30"/>
      <c r="K481" s="30"/>
      <c r="L481" s="30"/>
      <c r="M481" s="30"/>
      <c r="N481" s="30"/>
      <c r="O481" s="30"/>
      <c r="P481" s="30"/>
      <c r="Q481" s="30"/>
      <c r="R481" s="30"/>
      <c r="S481" s="30"/>
      <c r="T481" s="30"/>
      <c r="U481" s="30"/>
      <c r="V481" s="30"/>
      <c r="W481" s="30"/>
      <c r="X481" s="30"/>
      <c r="Y481" s="30"/>
      <c r="Z481" s="30"/>
      <c r="AA481" s="30"/>
      <c r="AB481" s="30"/>
      <c r="AC481" s="30"/>
    </row>
    <row r="482" ht="39.75" customHeight="1">
      <c r="A482" s="30"/>
      <c r="B482" s="31"/>
      <c r="C482" s="30"/>
      <c r="D482" s="30"/>
      <c r="E482" s="30"/>
      <c r="F482" s="30"/>
      <c r="G482" s="30"/>
      <c r="H482" s="30"/>
      <c r="I482" s="32"/>
      <c r="J482" s="30"/>
      <c r="K482" s="30"/>
      <c r="L482" s="30"/>
      <c r="M482" s="30"/>
      <c r="N482" s="30"/>
      <c r="O482" s="30"/>
      <c r="P482" s="30"/>
      <c r="Q482" s="30"/>
      <c r="R482" s="30"/>
      <c r="S482" s="30"/>
      <c r="T482" s="30"/>
      <c r="U482" s="30"/>
      <c r="V482" s="30"/>
      <c r="W482" s="30"/>
      <c r="X482" s="30"/>
      <c r="Y482" s="30"/>
      <c r="Z482" s="30"/>
      <c r="AA482" s="30"/>
      <c r="AB482" s="30"/>
      <c r="AC482" s="30"/>
    </row>
    <row r="483" ht="39.75" customHeight="1">
      <c r="A483" s="30"/>
      <c r="B483" s="31"/>
      <c r="C483" s="30"/>
      <c r="D483" s="30"/>
      <c r="E483" s="30"/>
      <c r="F483" s="30"/>
      <c r="G483" s="30"/>
      <c r="H483" s="30"/>
      <c r="I483" s="32"/>
      <c r="J483" s="30"/>
      <c r="K483" s="30"/>
      <c r="L483" s="30"/>
      <c r="M483" s="30"/>
      <c r="N483" s="30"/>
      <c r="O483" s="30"/>
      <c r="P483" s="30"/>
      <c r="Q483" s="30"/>
      <c r="R483" s="30"/>
      <c r="S483" s="30"/>
      <c r="T483" s="30"/>
      <c r="U483" s="30"/>
      <c r="V483" s="30"/>
      <c r="W483" s="30"/>
      <c r="X483" s="30"/>
      <c r="Y483" s="30"/>
      <c r="Z483" s="30"/>
      <c r="AA483" s="30"/>
      <c r="AB483" s="30"/>
      <c r="AC483" s="30"/>
    </row>
    <row r="484" ht="39.75" customHeight="1">
      <c r="A484" s="30"/>
      <c r="B484" s="31"/>
      <c r="C484" s="30"/>
      <c r="D484" s="30"/>
      <c r="E484" s="30"/>
      <c r="F484" s="30"/>
      <c r="G484" s="30"/>
      <c r="H484" s="30"/>
      <c r="I484" s="32"/>
      <c r="J484" s="30"/>
      <c r="K484" s="30"/>
      <c r="L484" s="30"/>
      <c r="M484" s="30"/>
      <c r="N484" s="30"/>
      <c r="O484" s="30"/>
      <c r="P484" s="30"/>
      <c r="Q484" s="30"/>
      <c r="R484" s="30"/>
      <c r="S484" s="30"/>
      <c r="T484" s="30"/>
      <c r="U484" s="30"/>
      <c r="V484" s="30"/>
      <c r="W484" s="30"/>
      <c r="X484" s="30"/>
      <c r="Y484" s="30"/>
      <c r="Z484" s="30"/>
      <c r="AA484" s="30"/>
      <c r="AB484" s="30"/>
      <c r="AC484" s="30"/>
    </row>
    <row r="485" ht="39.75" customHeight="1">
      <c r="A485" s="30"/>
      <c r="B485" s="31"/>
      <c r="C485" s="30"/>
      <c r="D485" s="30"/>
      <c r="E485" s="30"/>
      <c r="F485" s="30"/>
      <c r="G485" s="30"/>
      <c r="H485" s="30"/>
      <c r="I485" s="32"/>
      <c r="J485" s="30"/>
      <c r="K485" s="30"/>
      <c r="L485" s="30"/>
      <c r="M485" s="30"/>
      <c r="N485" s="30"/>
      <c r="O485" s="30"/>
      <c r="P485" s="30"/>
      <c r="Q485" s="30"/>
      <c r="R485" s="30"/>
      <c r="S485" s="30"/>
      <c r="T485" s="30"/>
      <c r="U485" s="30"/>
      <c r="V485" s="30"/>
      <c r="W485" s="30"/>
      <c r="X485" s="30"/>
      <c r="Y485" s="30"/>
      <c r="Z485" s="30"/>
      <c r="AA485" s="30"/>
      <c r="AB485" s="30"/>
      <c r="AC485" s="30"/>
    </row>
    <row r="486" ht="39.75" customHeight="1">
      <c r="A486" s="30"/>
      <c r="B486" s="31"/>
      <c r="C486" s="30"/>
      <c r="D486" s="30"/>
      <c r="E486" s="30"/>
      <c r="F486" s="30"/>
      <c r="G486" s="30"/>
      <c r="H486" s="30"/>
      <c r="I486" s="32"/>
      <c r="J486" s="30"/>
      <c r="K486" s="30"/>
      <c r="L486" s="30"/>
      <c r="M486" s="30"/>
      <c r="N486" s="30"/>
      <c r="O486" s="30"/>
      <c r="P486" s="30"/>
      <c r="Q486" s="30"/>
      <c r="R486" s="30"/>
      <c r="S486" s="30"/>
      <c r="T486" s="30"/>
      <c r="U486" s="30"/>
      <c r="V486" s="30"/>
      <c r="W486" s="30"/>
      <c r="X486" s="30"/>
      <c r="Y486" s="30"/>
      <c r="Z486" s="30"/>
      <c r="AA486" s="30"/>
      <c r="AB486" s="30"/>
      <c r="AC486" s="30"/>
    </row>
    <row r="487" ht="39.75" customHeight="1">
      <c r="A487" s="30"/>
      <c r="B487" s="31"/>
      <c r="C487" s="30"/>
      <c r="D487" s="30"/>
      <c r="E487" s="30"/>
      <c r="F487" s="30"/>
      <c r="G487" s="30"/>
      <c r="H487" s="30"/>
      <c r="I487" s="32"/>
      <c r="J487" s="30"/>
      <c r="K487" s="30"/>
      <c r="L487" s="30"/>
      <c r="M487" s="30"/>
      <c r="N487" s="30"/>
      <c r="O487" s="30"/>
      <c r="P487" s="30"/>
      <c r="Q487" s="30"/>
      <c r="R487" s="30"/>
      <c r="S487" s="30"/>
      <c r="T487" s="30"/>
      <c r="U487" s="30"/>
      <c r="V487" s="30"/>
      <c r="W487" s="30"/>
      <c r="X487" s="30"/>
      <c r="Y487" s="30"/>
      <c r="Z487" s="30"/>
      <c r="AA487" s="30"/>
      <c r="AB487" s="30"/>
      <c r="AC487" s="30"/>
    </row>
    <row r="488" ht="39.75" customHeight="1">
      <c r="A488" s="30"/>
      <c r="B488" s="31"/>
      <c r="C488" s="30"/>
      <c r="D488" s="30"/>
      <c r="E488" s="30"/>
      <c r="F488" s="30"/>
      <c r="G488" s="30"/>
      <c r="H488" s="30"/>
      <c r="I488" s="32"/>
      <c r="J488" s="30"/>
      <c r="K488" s="30"/>
      <c r="L488" s="30"/>
      <c r="M488" s="30"/>
      <c r="N488" s="30"/>
      <c r="O488" s="30"/>
      <c r="P488" s="30"/>
      <c r="Q488" s="30"/>
      <c r="R488" s="30"/>
      <c r="S488" s="30"/>
      <c r="T488" s="30"/>
      <c r="U488" s="30"/>
      <c r="V488" s="30"/>
      <c r="W488" s="30"/>
      <c r="X488" s="30"/>
      <c r="Y488" s="30"/>
      <c r="Z488" s="30"/>
      <c r="AA488" s="30"/>
      <c r="AB488" s="30"/>
      <c r="AC488" s="30"/>
    </row>
    <row r="489" ht="39.75" customHeight="1">
      <c r="A489" s="30"/>
      <c r="B489" s="31"/>
      <c r="C489" s="30"/>
      <c r="D489" s="30"/>
      <c r="E489" s="30"/>
      <c r="F489" s="30"/>
      <c r="G489" s="30"/>
      <c r="H489" s="30"/>
      <c r="I489" s="32"/>
      <c r="J489" s="30"/>
      <c r="K489" s="30"/>
      <c r="L489" s="30"/>
      <c r="M489" s="30"/>
      <c r="N489" s="30"/>
      <c r="O489" s="30"/>
      <c r="P489" s="30"/>
      <c r="Q489" s="30"/>
      <c r="R489" s="30"/>
      <c r="S489" s="30"/>
      <c r="T489" s="30"/>
      <c r="U489" s="30"/>
      <c r="V489" s="30"/>
      <c r="W489" s="30"/>
      <c r="X489" s="30"/>
      <c r="Y489" s="30"/>
      <c r="Z489" s="30"/>
      <c r="AA489" s="30"/>
      <c r="AB489" s="30"/>
      <c r="AC489" s="30"/>
    </row>
    <row r="490" ht="39.75" customHeight="1">
      <c r="A490" s="30"/>
      <c r="B490" s="31"/>
      <c r="C490" s="30"/>
      <c r="D490" s="30"/>
      <c r="E490" s="30"/>
      <c r="F490" s="30"/>
      <c r="G490" s="30"/>
      <c r="H490" s="30"/>
      <c r="I490" s="32"/>
      <c r="J490" s="30"/>
      <c r="K490" s="30"/>
      <c r="L490" s="30"/>
      <c r="M490" s="30"/>
      <c r="N490" s="30"/>
      <c r="O490" s="30"/>
      <c r="P490" s="30"/>
      <c r="Q490" s="30"/>
      <c r="R490" s="30"/>
      <c r="S490" s="30"/>
      <c r="T490" s="30"/>
      <c r="U490" s="30"/>
      <c r="V490" s="30"/>
      <c r="W490" s="30"/>
      <c r="X490" s="30"/>
      <c r="Y490" s="30"/>
      <c r="Z490" s="30"/>
      <c r="AA490" s="30"/>
      <c r="AB490" s="30"/>
      <c r="AC490" s="30"/>
    </row>
    <row r="491" ht="39.75" customHeight="1">
      <c r="A491" s="30"/>
      <c r="B491" s="31"/>
      <c r="C491" s="30"/>
      <c r="D491" s="30"/>
      <c r="E491" s="30"/>
      <c r="F491" s="30"/>
      <c r="G491" s="30"/>
      <c r="H491" s="30"/>
      <c r="I491" s="32"/>
      <c r="J491" s="30"/>
      <c r="K491" s="30"/>
      <c r="L491" s="30"/>
      <c r="M491" s="30"/>
      <c r="N491" s="30"/>
      <c r="O491" s="30"/>
      <c r="P491" s="30"/>
      <c r="Q491" s="30"/>
      <c r="R491" s="30"/>
      <c r="S491" s="30"/>
      <c r="T491" s="30"/>
      <c r="U491" s="30"/>
      <c r="V491" s="30"/>
      <c r="W491" s="30"/>
      <c r="X491" s="30"/>
      <c r="Y491" s="30"/>
      <c r="Z491" s="30"/>
      <c r="AA491" s="30"/>
      <c r="AB491" s="30"/>
      <c r="AC491" s="30"/>
    </row>
    <row r="492" ht="39.75" customHeight="1">
      <c r="A492" s="30"/>
      <c r="B492" s="31"/>
      <c r="C492" s="30"/>
      <c r="D492" s="30"/>
      <c r="E492" s="30"/>
      <c r="F492" s="30"/>
      <c r="G492" s="30"/>
      <c r="H492" s="30"/>
      <c r="I492" s="32"/>
      <c r="J492" s="30"/>
      <c r="K492" s="30"/>
      <c r="L492" s="30"/>
      <c r="M492" s="30"/>
      <c r="N492" s="30"/>
      <c r="O492" s="30"/>
      <c r="P492" s="30"/>
      <c r="Q492" s="30"/>
      <c r="R492" s="30"/>
      <c r="S492" s="30"/>
      <c r="T492" s="30"/>
      <c r="U492" s="30"/>
      <c r="V492" s="30"/>
      <c r="W492" s="30"/>
      <c r="X492" s="30"/>
      <c r="Y492" s="30"/>
      <c r="Z492" s="30"/>
      <c r="AA492" s="30"/>
      <c r="AB492" s="30"/>
      <c r="AC492" s="30"/>
    </row>
    <row r="493" ht="39.75" customHeight="1">
      <c r="A493" s="30"/>
      <c r="B493" s="31"/>
      <c r="C493" s="30"/>
      <c r="D493" s="30"/>
      <c r="E493" s="30"/>
      <c r="F493" s="30"/>
      <c r="G493" s="30"/>
      <c r="H493" s="30"/>
      <c r="I493" s="32"/>
      <c r="J493" s="30"/>
      <c r="K493" s="30"/>
      <c r="L493" s="30"/>
      <c r="M493" s="30"/>
      <c r="N493" s="30"/>
      <c r="O493" s="30"/>
      <c r="P493" s="30"/>
      <c r="Q493" s="30"/>
      <c r="R493" s="30"/>
      <c r="S493" s="30"/>
      <c r="T493" s="30"/>
      <c r="U493" s="30"/>
      <c r="V493" s="30"/>
      <c r="W493" s="30"/>
      <c r="X493" s="30"/>
      <c r="Y493" s="30"/>
      <c r="Z493" s="30"/>
      <c r="AA493" s="30"/>
      <c r="AB493" s="30"/>
      <c r="AC493" s="30"/>
    </row>
    <row r="494" ht="39.75" customHeight="1">
      <c r="A494" s="30"/>
      <c r="B494" s="31"/>
      <c r="C494" s="30"/>
      <c r="D494" s="30"/>
      <c r="E494" s="30"/>
      <c r="F494" s="30"/>
      <c r="G494" s="30"/>
      <c r="H494" s="30"/>
      <c r="I494" s="32"/>
      <c r="J494" s="30"/>
      <c r="K494" s="30"/>
      <c r="L494" s="30"/>
      <c r="M494" s="30"/>
      <c r="N494" s="30"/>
      <c r="O494" s="30"/>
      <c r="P494" s="30"/>
      <c r="Q494" s="30"/>
      <c r="R494" s="30"/>
      <c r="S494" s="30"/>
      <c r="T494" s="30"/>
      <c r="U494" s="30"/>
      <c r="V494" s="30"/>
      <c r="W494" s="30"/>
      <c r="X494" s="30"/>
      <c r="Y494" s="30"/>
      <c r="Z494" s="30"/>
      <c r="AA494" s="30"/>
      <c r="AB494" s="30"/>
      <c r="AC494" s="30"/>
    </row>
    <row r="495" ht="39.75" customHeight="1">
      <c r="A495" s="30"/>
      <c r="B495" s="31"/>
      <c r="C495" s="30"/>
      <c r="D495" s="30"/>
      <c r="E495" s="30"/>
      <c r="F495" s="30"/>
      <c r="G495" s="30"/>
      <c r="H495" s="30"/>
      <c r="I495" s="32"/>
      <c r="J495" s="30"/>
      <c r="K495" s="30"/>
      <c r="L495" s="30"/>
      <c r="M495" s="30"/>
      <c r="N495" s="30"/>
      <c r="O495" s="30"/>
      <c r="P495" s="30"/>
      <c r="Q495" s="30"/>
      <c r="R495" s="30"/>
      <c r="S495" s="30"/>
      <c r="T495" s="30"/>
      <c r="U495" s="30"/>
      <c r="V495" s="30"/>
      <c r="W495" s="30"/>
      <c r="X495" s="30"/>
      <c r="Y495" s="30"/>
      <c r="Z495" s="30"/>
      <c r="AA495" s="30"/>
      <c r="AB495" s="30"/>
      <c r="AC495" s="30"/>
    </row>
    <row r="496" ht="39.75" customHeight="1">
      <c r="A496" s="30"/>
      <c r="B496" s="31"/>
      <c r="C496" s="30"/>
      <c r="D496" s="30"/>
      <c r="E496" s="30"/>
      <c r="F496" s="30"/>
      <c r="G496" s="30"/>
      <c r="H496" s="30"/>
      <c r="I496" s="32"/>
      <c r="J496" s="30"/>
      <c r="K496" s="30"/>
      <c r="L496" s="30"/>
      <c r="M496" s="30"/>
      <c r="N496" s="30"/>
      <c r="O496" s="30"/>
      <c r="P496" s="30"/>
      <c r="Q496" s="30"/>
      <c r="R496" s="30"/>
      <c r="S496" s="30"/>
      <c r="T496" s="30"/>
      <c r="U496" s="30"/>
      <c r="V496" s="30"/>
      <c r="W496" s="30"/>
      <c r="X496" s="30"/>
      <c r="Y496" s="30"/>
      <c r="Z496" s="30"/>
      <c r="AA496" s="30"/>
      <c r="AB496" s="30"/>
      <c r="AC496" s="30"/>
    </row>
    <row r="497" ht="39.75" customHeight="1">
      <c r="A497" s="30"/>
      <c r="B497" s="31"/>
      <c r="C497" s="30"/>
      <c r="D497" s="30"/>
      <c r="E497" s="30"/>
      <c r="F497" s="30"/>
      <c r="G497" s="30"/>
      <c r="H497" s="30"/>
      <c r="I497" s="32"/>
      <c r="J497" s="30"/>
      <c r="K497" s="30"/>
      <c r="L497" s="30"/>
      <c r="M497" s="30"/>
      <c r="N497" s="30"/>
      <c r="O497" s="30"/>
      <c r="P497" s="30"/>
      <c r="Q497" s="30"/>
      <c r="R497" s="30"/>
      <c r="S497" s="30"/>
      <c r="T497" s="30"/>
      <c r="U497" s="30"/>
      <c r="V497" s="30"/>
      <c r="W497" s="30"/>
      <c r="X497" s="30"/>
      <c r="Y497" s="30"/>
      <c r="Z497" s="30"/>
      <c r="AA497" s="30"/>
      <c r="AB497" s="30"/>
      <c r="AC497" s="30"/>
    </row>
    <row r="498" ht="39.75" customHeight="1">
      <c r="A498" s="30"/>
      <c r="B498" s="31"/>
      <c r="C498" s="30"/>
      <c r="D498" s="30"/>
      <c r="E498" s="30"/>
      <c r="F498" s="30"/>
      <c r="G498" s="30"/>
      <c r="H498" s="30"/>
      <c r="I498" s="32"/>
      <c r="J498" s="30"/>
      <c r="K498" s="30"/>
      <c r="L498" s="30"/>
      <c r="M498" s="30"/>
      <c r="N498" s="30"/>
      <c r="O498" s="30"/>
      <c r="P498" s="30"/>
      <c r="Q498" s="30"/>
      <c r="R498" s="30"/>
      <c r="S498" s="30"/>
      <c r="T498" s="30"/>
      <c r="U498" s="30"/>
      <c r="V498" s="30"/>
      <c r="W498" s="30"/>
      <c r="X498" s="30"/>
      <c r="Y498" s="30"/>
      <c r="Z498" s="30"/>
      <c r="AA498" s="30"/>
      <c r="AB498" s="30"/>
      <c r="AC498" s="30"/>
    </row>
    <row r="499" ht="39.75" customHeight="1">
      <c r="A499" s="30"/>
      <c r="B499" s="31"/>
      <c r="C499" s="30"/>
      <c r="D499" s="30"/>
      <c r="E499" s="30"/>
      <c r="F499" s="30"/>
      <c r="G499" s="30"/>
      <c r="H499" s="30"/>
      <c r="I499" s="32"/>
      <c r="J499" s="30"/>
      <c r="K499" s="30"/>
      <c r="L499" s="30"/>
      <c r="M499" s="30"/>
      <c r="N499" s="30"/>
      <c r="O499" s="30"/>
      <c r="P499" s="30"/>
      <c r="Q499" s="30"/>
      <c r="R499" s="30"/>
      <c r="S499" s="30"/>
      <c r="T499" s="30"/>
      <c r="U499" s="30"/>
      <c r="V499" s="30"/>
      <c r="W499" s="30"/>
      <c r="X499" s="30"/>
      <c r="Y499" s="30"/>
      <c r="Z499" s="30"/>
      <c r="AA499" s="30"/>
      <c r="AB499" s="30"/>
      <c r="AC499" s="30"/>
    </row>
    <row r="500" ht="39.75" customHeight="1">
      <c r="A500" s="30"/>
      <c r="B500" s="31"/>
      <c r="C500" s="30"/>
      <c r="D500" s="30"/>
      <c r="E500" s="30"/>
      <c r="F500" s="30"/>
      <c r="G500" s="30"/>
      <c r="H500" s="30"/>
      <c r="I500" s="32"/>
      <c r="J500" s="30"/>
      <c r="K500" s="30"/>
      <c r="L500" s="30"/>
      <c r="M500" s="30"/>
      <c r="N500" s="30"/>
      <c r="O500" s="30"/>
      <c r="P500" s="30"/>
      <c r="Q500" s="30"/>
      <c r="R500" s="30"/>
      <c r="S500" s="30"/>
      <c r="T500" s="30"/>
      <c r="U500" s="30"/>
      <c r="V500" s="30"/>
      <c r="W500" s="30"/>
      <c r="X500" s="30"/>
      <c r="Y500" s="30"/>
      <c r="Z500" s="30"/>
      <c r="AA500" s="30"/>
      <c r="AB500" s="30"/>
      <c r="AC500" s="30"/>
    </row>
    <row r="501" ht="39.75" customHeight="1">
      <c r="A501" s="30"/>
      <c r="B501" s="31"/>
      <c r="C501" s="30"/>
      <c r="D501" s="30"/>
      <c r="E501" s="30"/>
      <c r="F501" s="30"/>
      <c r="G501" s="30"/>
      <c r="H501" s="30"/>
      <c r="I501" s="32"/>
      <c r="J501" s="30"/>
      <c r="K501" s="30"/>
      <c r="L501" s="30"/>
      <c r="M501" s="30"/>
      <c r="N501" s="30"/>
      <c r="O501" s="30"/>
      <c r="P501" s="30"/>
      <c r="Q501" s="30"/>
      <c r="R501" s="30"/>
      <c r="S501" s="30"/>
      <c r="T501" s="30"/>
      <c r="U501" s="30"/>
      <c r="V501" s="30"/>
      <c r="W501" s="30"/>
      <c r="X501" s="30"/>
      <c r="Y501" s="30"/>
      <c r="Z501" s="30"/>
      <c r="AA501" s="30"/>
      <c r="AB501" s="30"/>
      <c r="AC501" s="30"/>
    </row>
    <row r="502" ht="39.75" customHeight="1">
      <c r="A502" s="30"/>
      <c r="B502" s="31"/>
      <c r="C502" s="30"/>
      <c r="D502" s="30"/>
      <c r="E502" s="30"/>
      <c r="F502" s="30"/>
      <c r="G502" s="30"/>
      <c r="H502" s="30"/>
      <c r="I502" s="32"/>
      <c r="J502" s="30"/>
      <c r="K502" s="30"/>
      <c r="L502" s="30"/>
      <c r="M502" s="30"/>
      <c r="N502" s="30"/>
      <c r="O502" s="30"/>
      <c r="P502" s="30"/>
      <c r="Q502" s="30"/>
      <c r="R502" s="30"/>
      <c r="S502" s="30"/>
      <c r="T502" s="30"/>
      <c r="U502" s="30"/>
      <c r="V502" s="30"/>
      <c r="W502" s="30"/>
      <c r="X502" s="30"/>
      <c r="Y502" s="30"/>
      <c r="Z502" s="30"/>
      <c r="AA502" s="30"/>
      <c r="AB502" s="30"/>
      <c r="AC502" s="30"/>
    </row>
    <row r="503" ht="39.75" customHeight="1">
      <c r="A503" s="30"/>
      <c r="B503" s="31"/>
      <c r="C503" s="30"/>
      <c r="D503" s="30"/>
      <c r="E503" s="30"/>
      <c r="F503" s="30"/>
      <c r="G503" s="30"/>
      <c r="H503" s="30"/>
      <c r="I503" s="32"/>
      <c r="J503" s="30"/>
      <c r="K503" s="30"/>
      <c r="L503" s="30"/>
      <c r="M503" s="30"/>
      <c r="N503" s="30"/>
      <c r="O503" s="30"/>
      <c r="P503" s="30"/>
      <c r="Q503" s="30"/>
      <c r="R503" s="30"/>
      <c r="S503" s="30"/>
      <c r="T503" s="30"/>
      <c r="U503" s="30"/>
      <c r="V503" s="30"/>
      <c r="W503" s="30"/>
      <c r="X503" s="30"/>
      <c r="Y503" s="30"/>
      <c r="Z503" s="30"/>
      <c r="AA503" s="30"/>
      <c r="AB503" s="30"/>
      <c r="AC503" s="30"/>
    </row>
    <row r="504" ht="39.75" customHeight="1">
      <c r="A504" s="30"/>
      <c r="B504" s="31"/>
      <c r="C504" s="30"/>
      <c r="D504" s="30"/>
      <c r="E504" s="30"/>
      <c r="F504" s="30"/>
      <c r="G504" s="30"/>
      <c r="H504" s="30"/>
      <c r="I504" s="32"/>
      <c r="J504" s="30"/>
      <c r="K504" s="30"/>
      <c r="L504" s="30"/>
      <c r="M504" s="30"/>
      <c r="N504" s="30"/>
      <c r="O504" s="30"/>
      <c r="P504" s="30"/>
      <c r="Q504" s="30"/>
      <c r="R504" s="30"/>
      <c r="S504" s="30"/>
      <c r="T504" s="30"/>
      <c r="U504" s="30"/>
      <c r="V504" s="30"/>
      <c r="W504" s="30"/>
      <c r="X504" s="30"/>
      <c r="Y504" s="30"/>
      <c r="Z504" s="30"/>
      <c r="AA504" s="30"/>
      <c r="AB504" s="30"/>
      <c r="AC504" s="30"/>
    </row>
    <row r="505" ht="39.75" customHeight="1">
      <c r="A505" s="30"/>
      <c r="B505" s="31"/>
      <c r="C505" s="30"/>
      <c r="D505" s="30"/>
      <c r="E505" s="30"/>
      <c r="F505" s="30"/>
      <c r="G505" s="30"/>
      <c r="H505" s="30"/>
      <c r="I505" s="32"/>
      <c r="J505" s="30"/>
      <c r="K505" s="30"/>
      <c r="L505" s="30"/>
      <c r="M505" s="30"/>
      <c r="N505" s="30"/>
      <c r="O505" s="30"/>
      <c r="P505" s="30"/>
      <c r="Q505" s="30"/>
      <c r="R505" s="30"/>
      <c r="S505" s="30"/>
      <c r="T505" s="30"/>
      <c r="U505" s="30"/>
      <c r="V505" s="30"/>
      <c r="W505" s="30"/>
      <c r="X505" s="30"/>
      <c r="Y505" s="30"/>
      <c r="Z505" s="30"/>
      <c r="AA505" s="30"/>
      <c r="AB505" s="30"/>
      <c r="AC505" s="30"/>
    </row>
    <row r="506" ht="39.75" customHeight="1">
      <c r="A506" s="30"/>
      <c r="B506" s="31"/>
      <c r="C506" s="30"/>
      <c r="D506" s="30"/>
      <c r="E506" s="30"/>
      <c r="F506" s="30"/>
      <c r="G506" s="30"/>
      <c r="H506" s="30"/>
      <c r="I506" s="32"/>
      <c r="J506" s="30"/>
      <c r="K506" s="30"/>
      <c r="L506" s="30"/>
      <c r="M506" s="30"/>
      <c r="N506" s="30"/>
      <c r="O506" s="30"/>
      <c r="P506" s="30"/>
      <c r="Q506" s="30"/>
      <c r="R506" s="30"/>
      <c r="S506" s="30"/>
      <c r="T506" s="30"/>
      <c r="U506" s="30"/>
      <c r="V506" s="30"/>
      <c r="W506" s="30"/>
      <c r="X506" s="30"/>
      <c r="Y506" s="30"/>
      <c r="Z506" s="30"/>
      <c r="AA506" s="30"/>
      <c r="AB506" s="30"/>
      <c r="AC506" s="30"/>
    </row>
    <row r="507" ht="39.75" customHeight="1">
      <c r="A507" s="30"/>
      <c r="B507" s="31"/>
      <c r="C507" s="30"/>
      <c r="D507" s="30"/>
      <c r="E507" s="30"/>
      <c r="F507" s="30"/>
      <c r="G507" s="30"/>
      <c r="H507" s="30"/>
      <c r="I507" s="32"/>
      <c r="J507" s="30"/>
      <c r="K507" s="30"/>
      <c r="L507" s="30"/>
      <c r="M507" s="30"/>
      <c r="N507" s="30"/>
      <c r="O507" s="30"/>
      <c r="P507" s="30"/>
      <c r="Q507" s="30"/>
      <c r="R507" s="30"/>
      <c r="S507" s="30"/>
      <c r="T507" s="30"/>
      <c r="U507" s="30"/>
      <c r="V507" s="30"/>
      <c r="W507" s="30"/>
      <c r="X507" s="30"/>
      <c r="Y507" s="30"/>
      <c r="Z507" s="30"/>
      <c r="AA507" s="30"/>
      <c r="AB507" s="30"/>
      <c r="AC507" s="30"/>
    </row>
    <row r="508" ht="39.75" customHeight="1">
      <c r="A508" s="30"/>
      <c r="B508" s="31"/>
      <c r="C508" s="30"/>
      <c r="D508" s="30"/>
      <c r="E508" s="30"/>
      <c r="F508" s="30"/>
      <c r="G508" s="30"/>
      <c r="H508" s="30"/>
      <c r="I508" s="32"/>
      <c r="J508" s="30"/>
      <c r="K508" s="30"/>
      <c r="L508" s="30"/>
      <c r="M508" s="30"/>
      <c r="N508" s="30"/>
      <c r="O508" s="30"/>
      <c r="P508" s="30"/>
      <c r="Q508" s="30"/>
      <c r="R508" s="30"/>
      <c r="S508" s="30"/>
      <c r="T508" s="30"/>
      <c r="U508" s="30"/>
      <c r="V508" s="30"/>
      <c r="W508" s="30"/>
      <c r="X508" s="30"/>
      <c r="Y508" s="30"/>
      <c r="Z508" s="30"/>
      <c r="AA508" s="30"/>
      <c r="AB508" s="30"/>
      <c r="AC508" s="30"/>
    </row>
    <row r="509" ht="39.75" customHeight="1">
      <c r="A509" s="30"/>
      <c r="B509" s="31"/>
      <c r="C509" s="30"/>
      <c r="D509" s="30"/>
      <c r="E509" s="30"/>
      <c r="F509" s="30"/>
      <c r="G509" s="30"/>
      <c r="H509" s="30"/>
      <c r="I509" s="32"/>
      <c r="J509" s="30"/>
      <c r="K509" s="30"/>
      <c r="L509" s="30"/>
      <c r="M509" s="30"/>
      <c r="N509" s="30"/>
      <c r="O509" s="30"/>
      <c r="P509" s="30"/>
      <c r="Q509" s="30"/>
      <c r="R509" s="30"/>
      <c r="S509" s="30"/>
      <c r="T509" s="30"/>
      <c r="U509" s="30"/>
      <c r="V509" s="30"/>
      <c r="W509" s="30"/>
      <c r="X509" s="30"/>
      <c r="Y509" s="30"/>
      <c r="Z509" s="30"/>
      <c r="AA509" s="30"/>
      <c r="AB509" s="30"/>
      <c r="AC509" s="30"/>
    </row>
    <row r="510" ht="39.75" customHeight="1">
      <c r="A510" s="30"/>
      <c r="B510" s="31"/>
      <c r="C510" s="30"/>
      <c r="D510" s="30"/>
      <c r="E510" s="30"/>
      <c r="F510" s="30"/>
      <c r="G510" s="30"/>
      <c r="H510" s="30"/>
      <c r="I510" s="32"/>
      <c r="J510" s="30"/>
      <c r="K510" s="30"/>
      <c r="L510" s="30"/>
      <c r="M510" s="30"/>
      <c r="N510" s="30"/>
      <c r="O510" s="30"/>
      <c r="P510" s="30"/>
      <c r="Q510" s="30"/>
      <c r="R510" s="30"/>
      <c r="S510" s="30"/>
      <c r="T510" s="30"/>
      <c r="U510" s="30"/>
      <c r="V510" s="30"/>
      <c r="W510" s="30"/>
      <c r="X510" s="30"/>
      <c r="Y510" s="30"/>
      <c r="Z510" s="30"/>
      <c r="AA510" s="30"/>
      <c r="AB510" s="30"/>
      <c r="AC510" s="30"/>
    </row>
    <row r="511" ht="39.75" customHeight="1">
      <c r="A511" s="30"/>
      <c r="B511" s="31"/>
      <c r="C511" s="30"/>
      <c r="D511" s="30"/>
      <c r="E511" s="30"/>
      <c r="F511" s="30"/>
      <c r="G511" s="30"/>
      <c r="H511" s="30"/>
      <c r="I511" s="32"/>
      <c r="J511" s="30"/>
      <c r="K511" s="30"/>
      <c r="L511" s="30"/>
      <c r="M511" s="30"/>
      <c r="N511" s="30"/>
      <c r="O511" s="30"/>
      <c r="P511" s="30"/>
      <c r="Q511" s="30"/>
      <c r="R511" s="30"/>
      <c r="S511" s="30"/>
      <c r="T511" s="30"/>
      <c r="U511" s="30"/>
      <c r="V511" s="30"/>
      <c r="W511" s="30"/>
      <c r="X511" s="30"/>
      <c r="Y511" s="30"/>
      <c r="Z511" s="30"/>
      <c r="AA511" s="30"/>
      <c r="AB511" s="30"/>
      <c r="AC511" s="30"/>
    </row>
    <row r="512" ht="39.75" customHeight="1">
      <c r="A512" s="30"/>
      <c r="B512" s="31"/>
      <c r="C512" s="30"/>
      <c r="D512" s="30"/>
      <c r="E512" s="30"/>
      <c r="F512" s="30"/>
      <c r="G512" s="30"/>
      <c r="H512" s="30"/>
      <c r="I512" s="32"/>
      <c r="J512" s="30"/>
      <c r="K512" s="30"/>
      <c r="L512" s="30"/>
      <c r="M512" s="30"/>
      <c r="N512" s="30"/>
      <c r="O512" s="30"/>
      <c r="P512" s="30"/>
      <c r="Q512" s="30"/>
      <c r="R512" s="30"/>
      <c r="S512" s="30"/>
      <c r="T512" s="30"/>
      <c r="U512" s="30"/>
      <c r="V512" s="30"/>
      <c r="W512" s="30"/>
      <c r="X512" s="30"/>
      <c r="Y512" s="30"/>
      <c r="Z512" s="30"/>
      <c r="AA512" s="30"/>
      <c r="AB512" s="30"/>
      <c r="AC512" s="30"/>
    </row>
    <row r="513" ht="39.75" customHeight="1">
      <c r="A513" s="30"/>
      <c r="B513" s="31"/>
      <c r="C513" s="30"/>
      <c r="D513" s="30"/>
      <c r="E513" s="30"/>
      <c r="F513" s="30"/>
      <c r="G513" s="30"/>
      <c r="H513" s="30"/>
      <c r="I513" s="32"/>
      <c r="J513" s="30"/>
      <c r="K513" s="30"/>
      <c r="L513" s="30"/>
      <c r="M513" s="30"/>
      <c r="N513" s="30"/>
      <c r="O513" s="30"/>
      <c r="P513" s="30"/>
      <c r="Q513" s="30"/>
      <c r="R513" s="30"/>
      <c r="S513" s="30"/>
      <c r="T513" s="30"/>
      <c r="U513" s="30"/>
      <c r="V513" s="30"/>
      <c r="W513" s="30"/>
      <c r="X513" s="30"/>
      <c r="Y513" s="30"/>
      <c r="Z513" s="30"/>
      <c r="AA513" s="30"/>
      <c r="AB513" s="30"/>
      <c r="AC513" s="30"/>
    </row>
    <row r="514" ht="39.75" customHeight="1">
      <c r="A514" s="30"/>
      <c r="B514" s="31"/>
      <c r="C514" s="30"/>
      <c r="D514" s="30"/>
      <c r="E514" s="30"/>
      <c r="F514" s="30"/>
      <c r="G514" s="30"/>
      <c r="H514" s="30"/>
      <c r="I514" s="32"/>
      <c r="J514" s="30"/>
      <c r="K514" s="30"/>
      <c r="L514" s="30"/>
      <c r="M514" s="30"/>
      <c r="N514" s="30"/>
      <c r="O514" s="30"/>
      <c r="P514" s="30"/>
      <c r="Q514" s="30"/>
      <c r="R514" s="30"/>
      <c r="S514" s="30"/>
      <c r="T514" s="30"/>
      <c r="U514" s="30"/>
      <c r="V514" s="30"/>
      <c r="W514" s="30"/>
      <c r="X514" s="30"/>
      <c r="Y514" s="30"/>
      <c r="Z514" s="30"/>
      <c r="AA514" s="30"/>
      <c r="AB514" s="30"/>
      <c r="AC514" s="30"/>
    </row>
    <row r="515" ht="39.75" customHeight="1">
      <c r="A515" s="30"/>
      <c r="B515" s="31"/>
      <c r="C515" s="30"/>
      <c r="D515" s="30"/>
      <c r="E515" s="30"/>
      <c r="F515" s="30"/>
      <c r="G515" s="30"/>
      <c r="H515" s="30"/>
      <c r="I515" s="32"/>
      <c r="J515" s="30"/>
      <c r="K515" s="30"/>
      <c r="L515" s="30"/>
      <c r="M515" s="30"/>
      <c r="N515" s="30"/>
      <c r="O515" s="30"/>
      <c r="P515" s="30"/>
      <c r="Q515" s="30"/>
      <c r="R515" s="30"/>
      <c r="S515" s="30"/>
      <c r="T515" s="30"/>
      <c r="U515" s="30"/>
      <c r="V515" s="30"/>
      <c r="W515" s="30"/>
      <c r="X515" s="30"/>
      <c r="Y515" s="30"/>
      <c r="Z515" s="30"/>
      <c r="AA515" s="30"/>
      <c r="AB515" s="30"/>
      <c r="AC515" s="30"/>
    </row>
    <row r="516" ht="39.75" customHeight="1">
      <c r="A516" s="30"/>
      <c r="B516" s="31"/>
      <c r="C516" s="30"/>
      <c r="D516" s="30"/>
      <c r="E516" s="30"/>
      <c r="F516" s="30"/>
      <c r="G516" s="30"/>
      <c r="H516" s="30"/>
      <c r="I516" s="32"/>
      <c r="J516" s="30"/>
      <c r="K516" s="30"/>
      <c r="L516" s="30"/>
      <c r="M516" s="30"/>
      <c r="N516" s="30"/>
      <c r="O516" s="30"/>
      <c r="P516" s="30"/>
      <c r="Q516" s="30"/>
      <c r="R516" s="30"/>
      <c r="S516" s="30"/>
      <c r="T516" s="30"/>
      <c r="U516" s="30"/>
      <c r="V516" s="30"/>
      <c r="W516" s="30"/>
      <c r="X516" s="30"/>
      <c r="Y516" s="30"/>
      <c r="Z516" s="30"/>
      <c r="AA516" s="30"/>
      <c r="AB516" s="30"/>
      <c r="AC516" s="30"/>
    </row>
    <row r="517" ht="39.75" customHeight="1">
      <c r="A517" s="30"/>
      <c r="B517" s="31"/>
      <c r="C517" s="30"/>
      <c r="D517" s="30"/>
      <c r="E517" s="30"/>
      <c r="F517" s="30"/>
      <c r="G517" s="30"/>
      <c r="H517" s="30"/>
      <c r="I517" s="32"/>
      <c r="J517" s="30"/>
      <c r="K517" s="30"/>
      <c r="L517" s="30"/>
      <c r="M517" s="30"/>
      <c r="N517" s="30"/>
      <c r="O517" s="30"/>
      <c r="P517" s="30"/>
      <c r="Q517" s="30"/>
      <c r="R517" s="30"/>
      <c r="S517" s="30"/>
      <c r="T517" s="30"/>
      <c r="U517" s="30"/>
      <c r="V517" s="30"/>
      <c r="W517" s="30"/>
      <c r="X517" s="30"/>
      <c r="Y517" s="30"/>
      <c r="Z517" s="30"/>
      <c r="AA517" s="30"/>
      <c r="AB517" s="30"/>
      <c r="AC517" s="30"/>
    </row>
    <row r="518" ht="39.75" customHeight="1">
      <c r="A518" s="30"/>
      <c r="B518" s="31"/>
      <c r="C518" s="30"/>
      <c r="D518" s="30"/>
      <c r="E518" s="30"/>
      <c r="F518" s="30"/>
      <c r="G518" s="30"/>
      <c r="H518" s="30"/>
      <c r="I518" s="32"/>
      <c r="J518" s="30"/>
      <c r="K518" s="30"/>
      <c r="L518" s="30"/>
      <c r="M518" s="30"/>
      <c r="N518" s="30"/>
      <c r="O518" s="30"/>
      <c r="P518" s="30"/>
      <c r="Q518" s="30"/>
      <c r="R518" s="30"/>
      <c r="S518" s="30"/>
      <c r="T518" s="30"/>
      <c r="U518" s="30"/>
      <c r="V518" s="30"/>
      <c r="W518" s="30"/>
      <c r="X518" s="30"/>
      <c r="Y518" s="30"/>
      <c r="Z518" s="30"/>
      <c r="AA518" s="30"/>
      <c r="AB518" s="30"/>
      <c r="AC518" s="30"/>
    </row>
    <row r="519" ht="39.75" customHeight="1">
      <c r="A519" s="30"/>
      <c r="B519" s="31"/>
      <c r="C519" s="30"/>
      <c r="D519" s="30"/>
      <c r="E519" s="30"/>
      <c r="F519" s="30"/>
      <c r="G519" s="30"/>
      <c r="H519" s="30"/>
      <c r="I519" s="32"/>
      <c r="J519" s="30"/>
      <c r="K519" s="30"/>
      <c r="L519" s="30"/>
      <c r="M519" s="30"/>
      <c r="N519" s="30"/>
      <c r="O519" s="30"/>
      <c r="P519" s="30"/>
      <c r="Q519" s="30"/>
      <c r="R519" s="30"/>
      <c r="S519" s="30"/>
      <c r="T519" s="30"/>
      <c r="U519" s="30"/>
      <c r="V519" s="30"/>
      <c r="W519" s="30"/>
      <c r="X519" s="30"/>
      <c r="Y519" s="30"/>
      <c r="Z519" s="30"/>
      <c r="AA519" s="30"/>
      <c r="AB519" s="30"/>
      <c r="AC519" s="30"/>
    </row>
    <row r="520" ht="39.75" customHeight="1">
      <c r="A520" s="30"/>
      <c r="B520" s="31"/>
      <c r="C520" s="30"/>
      <c r="D520" s="30"/>
      <c r="E520" s="30"/>
      <c r="F520" s="30"/>
      <c r="G520" s="30"/>
      <c r="H520" s="30"/>
      <c r="I520" s="32"/>
      <c r="J520" s="30"/>
      <c r="K520" s="30"/>
      <c r="L520" s="30"/>
      <c r="M520" s="30"/>
      <c r="N520" s="30"/>
      <c r="O520" s="30"/>
      <c r="P520" s="30"/>
      <c r="Q520" s="30"/>
      <c r="R520" s="30"/>
      <c r="S520" s="30"/>
      <c r="T520" s="30"/>
      <c r="U520" s="30"/>
      <c r="V520" s="30"/>
      <c r="W520" s="30"/>
      <c r="X520" s="30"/>
      <c r="Y520" s="30"/>
      <c r="Z520" s="30"/>
      <c r="AA520" s="30"/>
      <c r="AB520" s="30"/>
      <c r="AC520" s="30"/>
    </row>
    <row r="521" ht="39.75" customHeight="1">
      <c r="A521" s="30"/>
      <c r="B521" s="31"/>
      <c r="C521" s="30"/>
      <c r="D521" s="30"/>
      <c r="E521" s="30"/>
      <c r="F521" s="30"/>
      <c r="G521" s="30"/>
      <c r="H521" s="30"/>
      <c r="I521" s="32"/>
      <c r="J521" s="30"/>
      <c r="K521" s="30"/>
      <c r="L521" s="30"/>
      <c r="M521" s="30"/>
      <c r="N521" s="30"/>
      <c r="O521" s="30"/>
      <c r="P521" s="30"/>
      <c r="Q521" s="30"/>
      <c r="R521" s="30"/>
      <c r="S521" s="30"/>
      <c r="T521" s="30"/>
      <c r="U521" s="30"/>
      <c r="V521" s="30"/>
      <c r="W521" s="30"/>
      <c r="X521" s="30"/>
      <c r="Y521" s="30"/>
      <c r="Z521" s="30"/>
      <c r="AA521" s="30"/>
      <c r="AB521" s="30"/>
      <c r="AC521" s="30"/>
    </row>
    <row r="522" ht="39.75" customHeight="1">
      <c r="A522" s="30"/>
      <c r="B522" s="31"/>
      <c r="C522" s="30"/>
      <c r="D522" s="30"/>
      <c r="E522" s="30"/>
      <c r="F522" s="30"/>
      <c r="G522" s="30"/>
      <c r="H522" s="30"/>
      <c r="I522" s="32"/>
      <c r="J522" s="30"/>
      <c r="K522" s="30"/>
      <c r="L522" s="30"/>
      <c r="M522" s="30"/>
      <c r="N522" s="30"/>
      <c r="O522" s="30"/>
      <c r="P522" s="30"/>
      <c r="Q522" s="30"/>
      <c r="R522" s="30"/>
      <c r="S522" s="30"/>
      <c r="T522" s="30"/>
      <c r="U522" s="30"/>
      <c r="V522" s="30"/>
      <c r="W522" s="30"/>
      <c r="X522" s="30"/>
      <c r="Y522" s="30"/>
      <c r="Z522" s="30"/>
      <c r="AA522" s="30"/>
      <c r="AB522" s="30"/>
      <c r="AC522" s="30"/>
    </row>
    <row r="523" ht="39.75" customHeight="1">
      <c r="A523" s="30"/>
      <c r="B523" s="31"/>
      <c r="C523" s="30"/>
      <c r="D523" s="30"/>
      <c r="E523" s="30"/>
      <c r="F523" s="30"/>
      <c r="G523" s="30"/>
      <c r="H523" s="30"/>
      <c r="I523" s="32"/>
      <c r="J523" s="30"/>
      <c r="K523" s="30"/>
      <c r="L523" s="30"/>
      <c r="M523" s="30"/>
      <c r="N523" s="30"/>
      <c r="O523" s="30"/>
      <c r="P523" s="30"/>
      <c r="Q523" s="30"/>
      <c r="R523" s="30"/>
      <c r="S523" s="30"/>
      <c r="T523" s="30"/>
      <c r="U523" s="30"/>
      <c r="V523" s="30"/>
      <c r="W523" s="30"/>
      <c r="X523" s="30"/>
      <c r="Y523" s="30"/>
      <c r="Z523" s="30"/>
      <c r="AA523" s="30"/>
      <c r="AB523" s="30"/>
      <c r="AC523" s="30"/>
    </row>
    <row r="524" ht="39.75" customHeight="1">
      <c r="A524" s="30"/>
      <c r="B524" s="31"/>
      <c r="C524" s="30"/>
      <c r="D524" s="30"/>
      <c r="E524" s="30"/>
      <c r="F524" s="30"/>
      <c r="G524" s="30"/>
      <c r="H524" s="30"/>
      <c r="I524" s="32"/>
      <c r="J524" s="30"/>
      <c r="K524" s="30"/>
      <c r="L524" s="30"/>
      <c r="M524" s="30"/>
      <c r="N524" s="30"/>
      <c r="O524" s="30"/>
      <c r="P524" s="30"/>
      <c r="Q524" s="30"/>
      <c r="R524" s="30"/>
      <c r="S524" s="30"/>
      <c r="T524" s="30"/>
      <c r="U524" s="30"/>
      <c r="V524" s="30"/>
      <c r="W524" s="30"/>
      <c r="X524" s="30"/>
      <c r="Y524" s="30"/>
      <c r="Z524" s="30"/>
      <c r="AA524" s="30"/>
      <c r="AB524" s="30"/>
      <c r="AC524" s="30"/>
    </row>
    <row r="525" ht="39.75" customHeight="1">
      <c r="A525" s="30"/>
      <c r="B525" s="31"/>
      <c r="C525" s="30"/>
      <c r="D525" s="30"/>
      <c r="E525" s="30"/>
      <c r="F525" s="30"/>
      <c r="G525" s="30"/>
      <c r="H525" s="30"/>
      <c r="I525" s="32"/>
      <c r="J525" s="30"/>
      <c r="K525" s="30"/>
      <c r="L525" s="30"/>
      <c r="M525" s="30"/>
      <c r="N525" s="30"/>
      <c r="O525" s="30"/>
      <c r="P525" s="30"/>
      <c r="Q525" s="30"/>
      <c r="R525" s="30"/>
      <c r="S525" s="30"/>
      <c r="T525" s="30"/>
      <c r="U525" s="30"/>
      <c r="V525" s="30"/>
      <c r="W525" s="30"/>
      <c r="X525" s="30"/>
      <c r="Y525" s="30"/>
      <c r="Z525" s="30"/>
      <c r="AA525" s="30"/>
      <c r="AB525" s="30"/>
      <c r="AC525" s="30"/>
    </row>
    <row r="526" ht="39.75" customHeight="1">
      <c r="A526" s="30"/>
      <c r="B526" s="31"/>
      <c r="C526" s="30"/>
      <c r="D526" s="30"/>
      <c r="E526" s="30"/>
      <c r="F526" s="30"/>
      <c r="G526" s="30"/>
      <c r="H526" s="30"/>
      <c r="I526" s="32"/>
      <c r="J526" s="30"/>
      <c r="K526" s="30"/>
      <c r="L526" s="30"/>
      <c r="M526" s="30"/>
      <c r="N526" s="30"/>
      <c r="O526" s="30"/>
      <c r="P526" s="30"/>
      <c r="Q526" s="30"/>
      <c r="R526" s="30"/>
      <c r="S526" s="30"/>
      <c r="T526" s="30"/>
      <c r="U526" s="30"/>
      <c r="V526" s="30"/>
      <c r="W526" s="30"/>
      <c r="X526" s="30"/>
      <c r="Y526" s="30"/>
      <c r="Z526" s="30"/>
      <c r="AA526" s="30"/>
      <c r="AB526" s="30"/>
      <c r="AC526" s="30"/>
    </row>
    <row r="527" ht="39.75" customHeight="1">
      <c r="A527" s="30"/>
      <c r="B527" s="31"/>
      <c r="C527" s="30"/>
      <c r="D527" s="30"/>
      <c r="E527" s="30"/>
      <c r="F527" s="30"/>
      <c r="G527" s="30"/>
      <c r="H527" s="30"/>
      <c r="I527" s="32"/>
      <c r="J527" s="30"/>
      <c r="K527" s="30"/>
      <c r="L527" s="30"/>
      <c r="M527" s="30"/>
      <c r="N527" s="30"/>
      <c r="O527" s="30"/>
      <c r="P527" s="30"/>
      <c r="Q527" s="30"/>
      <c r="R527" s="30"/>
      <c r="S527" s="30"/>
      <c r="T527" s="30"/>
      <c r="U527" s="30"/>
      <c r="V527" s="30"/>
      <c r="W527" s="30"/>
      <c r="X527" s="30"/>
      <c r="Y527" s="30"/>
      <c r="Z527" s="30"/>
      <c r="AA527" s="30"/>
      <c r="AB527" s="30"/>
      <c r="AC527" s="30"/>
    </row>
    <row r="528" ht="39.75" customHeight="1">
      <c r="A528" s="30"/>
      <c r="B528" s="31"/>
      <c r="C528" s="30"/>
      <c r="D528" s="30"/>
      <c r="E528" s="30"/>
      <c r="F528" s="30"/>
      <c r="G528" s="30"/>
      <c r="H528" s="30"/>
      <c r="I528" s="32"/>
      <c r="J528" s="30"/>
      <c r="K528" s="30"/>
      <c r="L528" s="30"/>
      <c r="M528" s="30"/>
      <c r="N528" s="30"/>
      <c r="O528" s="30"/>
      <c r="P528" s="30"/>
      <c r="Q528" s="30"/>
      <c r="R528" s="30"/>
      <c r="S528" s="30"/>
      <c r="T528" s="30"/>
      <c r="U528" s="30"/>
      <c r="V528" s="30"/>
      <c r="W528" s="30"/>
      <c r="X528" s="30"/>
      <c r="Y528" s="30"/>
      <c r="Z528" s="30"/>
      <c r="AA528" s="30"/>
      <c r="AB528" s="30"/>
      <c r="AC528" s="30"/>
    </row>
    <row r="529" ht="39.75" customHeight="1">
      <c r="A529" s="30"/>
      <c r="B529" s="31"/>
      <c r="C529" s="30"/>
      <c r="D529" s="30"/>
      <c r="E529" s="30"/>
      <c r="F529" s="30"/>
      <c r="G529" s="30"/>
      <c r="H529" s="30"/>
      <c r="I529" s="32"/>
      <c r="J529" s="30"/>
      <c r="K529" s="30"/>
      <c r="L529" s="30"/>
      <c r="M529" s="30"/>
      <c r="N529" s="30"/>
      <c r="O529" s="30"/>
      <c r="P529" s="30"/>
      <c r="Q529" s="30"/>
      <c r="R529" s="30"/>
      <c r="S529" s="30"/>
      <c r="T529" s="30"/>
      <c r="U529" s="30"/>
      <c r="V529" s="30"/>
      <c r="W529" s="30"/>
      <c r="X529" s="30"/>
      <c r="Y529" s="30"/>
      <c r="Z529" s="30"/>
      <c r="AA529" s="30"/>
      <c r="AB529" s="30"/>
      <c r="AC529" s="30"/>
    </row>
    <row r="530" ht="39.75" customHeight="1">
      <c r="A530" s="30"/>
      <c r="B530" s="31"/>
      <c r="C530" s="30"/>
      <c r="D530" s="30"/>
      <c r="E530" s="30"/>
      <c r="F530" s="30"/>
      <c r="G530" s="30"/>
      <c r="H530" s="30"/>
      <c r="I530" s="32"/>
      <c r="J530" s="30"/>
      <c r="K530" s="30"/>
      <c r="L530" s="30"/>
      <c r="M530" s="30"/>
      <c r="N530" s="30"/>
      <c r="O530" s="30"/>
      <c r="P530" s="30"/>
      <c r="Q530" s="30"/>
      <c r="R530" s="30"/>
      <c r="S530" s="30"/>
      <c r="T530" s="30"/>
      <c r="U530" s="30"/>
      <c r="V530" s="30"/>
      <c r="W530" s="30"/>
      <c r="X530" s="30"/>
      <c r="Y530" s="30"/>
      <c r="Z530" s="30"/>
      <c r="AA530" s="30"/>
      <c r="AB530" s="30"/>
      <c r="AC530" s="30"/>
    </row>
    <row r="531" ht="39.75" customHeight="1">
      <c r="A531" s="30"/>
      <c r="B531" s="31"/>
      <c r="C531" s="30"/>
      <c r="D531" s="30"/>
      <c r="E531" s="30"/>
      <c r="F531" s="30"/>
      <c r="G531" s="30"/>
      <c r="H531" s="30"/>
      <c r="I531" s="32"/>
      <c r="J531" s="30"/>
      <c r="K531" s="30"/>
      <c r="L531" s="30"/>
      <c r="M531" s="30"/>
      <c r="N531" s="30"/>
      <c r="O531" s="30"/>
      <c r="P531" s="30"/>
      <c r="Q531" s="30"/>
      <c r="R531" s="30"/>
      <c r="S531" s="30"/>
      <c r="T531" s="30"/>
      <c r="U531" s="30"/>
      <c r="V531" s="30"/>
      <c r="W531" s="30"/>
      <c r="X531" s="30"/>
      <c r="Y531" s="30"/>
      <c r="Z531" s="30"/>
      <c r="AA531" s="30"/>
      <c r="AB531" s="30"/>
      <c r="AC531" s="30"/>
    </row>
    <row r="532" ht="39.75" customHeight="1">
      <c r="A532" s="30"/>
      <c r="B532" s="31"/>
      <c r="C532" s="30"/>
      <c r="D532" s="30"/>
      <c r="E532" s="30"/>
      <c r="F532" s="30"/>
      <c r="G532" s="30"/>
      <c r="H532" s="30"/>
      <c r="I532" s="32"/>
      <c r="J532" s="30"/>
      <c r="K532" s="30"/>
      <c r="L532" s="30"/>
      <c r="M532" s="30"/>
      <c r="N532" s="30"/>
      <c r="O532" s="30"/>
      <c r="P532" s="30"/>
      <c r="Q532" s="30"/>
      <c r="R532" s="30"/>
      <c r="S532" s="30"/>
      <c r="T532" s="30"/>
      <c r="U532" s="30"/>
      <c r="V532" s="30"/>
      <c r="W532" s="30"/>
      <c r="X532" s="30"/>
      <c r="Y532" s="30"/>
      <c r="Z532" s="30"/>
      <c r="AA532" s="30"/>
      <c r="AB532" s="30"/>
      <c r="AC532" s="30"/>
    </row>
    <row r="533" ht="39.75" customHeight="1">
      <c r="A533" s="30"/>
      <c r="B533" s="31"/>
      <c r="C533" s="30"/>
      <c r="D533" s="30"/>
      <c r="E533" s="30"/>
      <c r="F533" s="30"/>
      <c r="G533" s="30"/>
      <c r="H533" s="30"/>
      <c r="I533" s="32"/>
      <c r="J533" s="30"/>
      <c r="K533" s="30"/>
      <c r="L533" s="30"/>
      <c r="M533" s="30"/>
      <c r="N533" s="30"/>
      <c r="O533" s="30"/>
      <c r="P533" s="30"/>
      <c r="Q533" s="30"/>
      <c r="R533" s="30"/>
      <c r="S533" s="30"/>
      <c r="T533" s="30"/>
      <c r="U533" s="30"/>
      <c r="V533" s="30"/>
      <c r="W533" s="30"/>
      <c r="X533" s="30"/>
      <c r="Y533" s="30"/>
      <c r="Z533" s="30"/>
      <c r="AA533" s="30"/>
      <c r="AB533" s="30"/>
      <c r="AC533" s="30"/>
    </row>
    <row r="534" ht="39.75" customHeight="1">
      <c r="A534" s="30"/>
      <c r="B534" s="31"/>
      <c r="C534" s="30"/>
      <c r="D534" s="30"/>
      <c r="E534" s="30"/>
      <c r="F534" s="30"/>
      <c r="G534" s="30"/>
      <c r="H534" s="30"/>
      <c r="I534" s="32"/>
      <c r="J534" s="30"/>
      <c r="K534" s="30"/>
      <c r="L534" s="30"/>
      <c r="M534" s="30"/>
      <c r="N534" s="30"/>
      <c r="O534" s="30"/>
      <c r="P534" s="30"/>
      <c r="Q534" s="30"/>
      <c r="R534" s="30"/>
      <c r="S534" s="30"/>
      <c r="T534" s="30"/>
      <c r="U534" s="30"/>
      <c r="V534" s="30"/>
      <c r="W534" s="30"/>
      <c r="X534" s="30"/>
      <c r="Y534" s="30"/>
      <c r="Z534" s="30"/>
      <c r="AA534" s="30"/>
      <c r="AB534" s="30"/>
      <c r="AC534" s="30"/>
    </row>
    <row r="535" ht="39.75" customHeight="1">
      <c r="A535" s="30"/>
      <c r="B535" s="31"/>
      <c r="C535" s="30"/>
      <c r="D535" s="30"/>
      <c r="E535" s="30"/>
      <c r="F535" s="30"/>
      <c r="G535" s="30"/>
      <c r="H535" s="30"/>
      <c r="I535" s="32"/>
      <c r="J535" s="30"/>
      <c r="K535" s="30"/>
      <c r="L535" s="30"/>
      <c r="M535" s="30"/>
      <c r="N535" s="30"/>
      <c r="O535" s="30"/>
      <c r="P535" s="30"/>
      <c r="Q535" s="30"/>
      <c r="R535" s="30"/>
      <c r="S535" s="30"/>
      <c r="T535" s="30"/>
      <c r="U535" s="30"/>
      <c r="V535" s="30"/>
      <c r="W535" s="30"/>
      <c r="X535" s="30"/>
      <c r="Y535" s="30"/>
      <c r="Z535" s="30"/>
      <c r="AA535" s="30"/>
      <c r="AB535" s="30"/>
      <c r="AC535" s="30"/>
    </row>
    <row r="536" ht="39.75" customHeight="1">
      <c r="A536" s="30"/>
      <c r="B536" s="31"/>
      <c r="C536" s="30"/>
      <c r="D536" s="30"/>
      <c r="E536" s="30"/>
      <c r="F536" s="30"/>
      <c r="G536" s="30"/>
      <c r="H536" s="30"/>
      <c r="I536" s="32"/>
      <c r="J536" s="30"/>
      <c r="K536" s="30"/>
      <c r="L536" s="30"/>
      <c r="M536" s="30"/>
      <c r="N536" s="30"/>
      <c r="O536" s="30"/>
      <c r="P536" s="30"/>
      <c r="Q536" s="30"/>
      <c r="R536" s="30"/>
      <c r="S536" s="30"/>
      <c r="T536" s="30"/>
      <c r="U536" s="30"/>
      <c r="V536" s="30"/>
      <c r="W536" s="30"/>
      <c r="X536" s="30"/>
      <c r="Y536" s="30"/>
      <c r="Z536" s="30"/>
      <c r="AA536" s="30"/>
      <c r="AB536" s="30"/>
      <c r="AC536" s="30"/>
    </row>
    <row r="537" ht="39.75" customHeight="1">
      <c r="A537" s="30"/>
      <c r="B537" s="31"/>
      <c r="C537" s="30"/>
      <c r="D537" s="30"/>
      <c r="E537" s="30"/>
      <c r="F537" s="30"/>
      <c r="G537" s="30"/>
      <c r="H537" s="30"/>
      <c r="I537" s="32"/>
      <c r="J537" s="30"/>
      <c r="K537" s="30"/>
      <c r="L537" s="30"/>
      <c r="M537" s="30"/>
      <c r="N537" s="30"/>
      <c r="O537" s="30"/>
      <c r="P537" s="30"/>
      <c r="Q537" s="30"/>
      <c r="R537" s="30"/>
      <c r="S537" s="30"/>
      <c r="T537" s="30"/>
      <c r="U537" s="30"/>
      <c r="V537" s="30"/>
      <c r="W537" s="30"/>
      <c r="X537" s="30"/>
      <c r="Y537" s="30"/>
      <c r="Z537" s="30"/>
      <c r="AA537" s="30"/>
      <c r="AB537" s="30"/>
      <c r="AC537" s="30"/>
    </row>
    <row r="538" ht="39.75" customHeight="1">
      <c r="A538" s="30"/>
      <c r="B538" s="31"/>
      <c r="C538" s="30"/>
      <c r="D538" s="30"/>
      <c r="E538" s="30"/>
      <c r="F538" s="30"/>
      <c r="G538" s="30"/>
      <c r="H538" s="30"/>
      <c r="I538" s="32"/>
      <c r="J538" s="30"/>
      <c r="K538" s="30"/>
      <c r="L538" s="30"/>
      <c r="M538" s="30"/>
      <c r="N538" s="30"/>
      <c r="O538" s="30"/>
      <c r="P538" s="30"/>
      <c r="Q538" s="30"/>
      <c r="R538" s="30"/>
      <c r="S538" s="30"/>
      <c r="T538" s="30"/>
      <c r="U538" s="30"/>
      <c r="V538" s="30"/>
      <c r="W538" s="30"/>
      <c r="X538" s="30"/>
      <c r="Y538" s="30"/>
      <c r="Z538" s="30"/>
      <c r="AA538" s="30"/>
      <c r="AB538" s="30"/>
      <c r="AC538" s="30"/>
    </row>
    <row r="539" ht="39.75" customHeight="1">
      <c r="A539" s="30"/>
      <c r="B539" s="31"/>
      <c r="C539" s="30"/>
      <c r="D539" s="30"/>
      <c r="E539" s="30"/>
      <c r="F539" s="30"/>
      <c r="G539" s="30"/>
      <c r="H539" s="30"/>
      <c r="I539" s="32"/>
      <c r="J539" s="30"/>
      <c r="K539" s="30"/>
      <c r="L539" s="30"/>
      <c r="M539" s="30"/>
      <c r="N539" s="30"/>
      <c r="O539" s="30"/>
      <c r="P539" s="30"/>
      <c r="Q539" s="30"/>
      <c r="R539" s="30"/>
      <c r="S539" s="30"/>
      <c r="T539" s="30"/>
      <c r="U539" s="30"/>
      <c r="V539" s="30"/>
      <c r="W539" s="30"/>
      <c r="X539" s="30"/>
      <c r="Y539" s="30"/>
      <c r="Z539" s="30"/>
      <c r="AA539" s="30"/>
      <c r="AB539" s="30"/>
      <c r="AC539" s="30"/>
    </row>
    <row r="540" ht="39.75" customHeight="1">
      <c r="A540" s="30"/>
      <c r="B540" s="31"/>
      <c r="C540" s="30"/>
      <c r="D540" s="30"/>
      <c r="E540" s="30"/>
      <c r="F540" s="30"/>
      <c r="G540" s="30"/>
      <c r="H540" s="30"/>
      <c r="I540" s="32"/>
      <c r="J540" s="30"/>
      <c r="K540" s="30"/>
      <c r="L540" s="30"/>
      <c r="M540" s="30"/>
      <c r="N540" s="30"/>
      <c r="O540" s="30"/>
      <c r="P540" s="30"/>
      <c r="Q540" s="30"/>
      <c r="R540" s="30"/>
      <c r="S540" s="30"/>
      <c r="T540" s="30"/>
      <c r="U540" s="30"/>
      <c r="V540" s="30"/>
      <c r="W540" s="30"/>
      <c r="X540" s="30"/>
      <c r="Y540" s="30"/>
      <c r="Z540" s="30"/>
      <c r="AA540" s="30"/>
      <c r="AB540" s="30"/>
      <c r="AC540" s="30"/>
    </row>
    <row r="541" ht="39.75" customHeight="1">
      <c r="A541" s="30"/>
      <c r="B541" s="31"/>
      <c r="C541" s="30"/>
      <c r="D541" s="30"/>
      <c r="E541" s="30"/>
      <c r="F541" s="30"/>
      <c r="G541" s="30"/>
      <c r="H541" s="30"/>
      <c r="I541" s="32"/>
      <c r="J541" s="30"/>
      <c r="K541" s="30"/>
      <c r="L541" s="30"/>
      <c r="M541" s="30"/>
      <c r="N541" s="30"/>
      <c r="O541" s="30"/>
      <c r="P541" s="30"/>
      <c r="Q541" s="30"/>
      <c r="R541" s="30"/>
      <c r="S541" s="30"/>
      <c r="T541" s="30"/>
      <c r="U541" s="30"/>
      <c r="V541" s="30"/>
      <c r="W541" s="30"/>
      <c r="X541" s="30"/>
      <c r="Y541" s="30"/>
      <c r="Z541" s="30"/>
      <c r="AA541" s="30"/>
      <c r="AB541" s="30"/>
      <c r="AC541" s="30"/>
    </row>
    <row r="542" ht="39.75" customHeight="1">
      <c r="A542" s="30"/>
      <c r="B542" s="31"/>
      <c r="C542" s="30"/>
      <c r="D542" s="30"/>
      <c r="E542" s="30"/>
      <c r="F542" s="30"/>
      <c r="G542" s="30"/>
      <c r="H542" s="30"/>
      <c r="I542" s="32"/>
      <c r="J542" s="30"/>
      <c r="K542" s="30"/>
      <c r="L542" s="30"/>
      <c r="M542" s="30"/>
      <c r="N542" s="30"/>
      <c r="O542" s="30"/>
      <c r="P542" s="30"/>
      <c r="Q542" s="30"/>
      <c r="R542" s="30"/>
      <c r="S542" s="30"/>
      <c r="T542" s="30"/>
      <c r="U542" s="30"/>
      <c r="V542" s="30"/>
      <c r="W542" s="30"/>
      <c r="X542" s="30"/>
      <c r="Y542" s="30"/>
      <c r="Z542" s="30"/>
      <c r="AA542" s="30"/>
      <c r="AB542" s="30"/>
      <c r="AC542" s="30"/>
    </row>
    <row r="543" ht="39.75" customHeight="1">
      <c r="A543" s="30"/>
      <c r="B543" s="31"/>
      <c r="C543" s="30"/>
      <c r="D543" s="30"/>
      <c r="E543" s="30"/>
      <c r="F543" s="30"/>
      <c r="G543" s="30"/>
      <c r="H543" s="30"/>
      <c r="I543" s="32"/>
      <c r="J543" s="30"/>
      <c r="K543" s="30"/>
      <c r="L543" s="30"/>
      <c r="M543" s="30"/>
      <c r="N543" s="30"/>
      <c r="O543" s="30"/>
      <c r="P543" s="30"/>
      <c r="Q543" s="30"/>
      <c r="R543" s="30"/>
      <c r="S543" s="30"/>
      <c r="T543" s="30"/>
      <c r="U543" s="30"/>
      <c r="V543" s="30"/>
      <c r="W543" s="30"/>
      <c r="X543" s="30"/>
      <c r="Y543" s="30"/>
      <c r="Z543" s="30"/>
      <c r="AA543" s="30"/>
      <c r="AB543" s="30"/>
      <c r="AC543" s="30"/>
    </row>
    <row r="544" ht="39.75" customHeight="1">
      <c r="A544" s="30"/>
      <c r="B544" s="31"/>
      <c r="C544" s="30"/>
      <c r="D544" s="30"/>
      <c r="E544" s="30"/>
      <c r="F544" s="30"/>
      <c r="G544" s="30"/>
      <c r="H544" s="30"/>
      <c r="I544" s="32"/>
      <c r="J544" s="30"/>
      <c r="K544" s="30"/>
      <c r="L544" s="30"/>
      <c r="M544" s="30"/>
      <c r="N544" s="30"/>
      <c r="O544" s="30"/>
      <c r="P544" s="30"/>
      <c r="Q544" s="30"/>
      <c r="R544" s="30"/>
      <c r="S544" s="30"/>
      <c r="T544" s="30"/>
      <c r="U544" s="30"/>
      <c r="V544" s="30"/>
      <c r="W544" s="30"/>
      <c r="X544" s="30"/>
      <c r="Y544" s="30"/>
      <c r="Z544" s="30"/>
      <c r="AA544" s="30"/>
      <c r="AB544" s="30"/>
      <c r="AC544" s="30"/>
    </row>
    <row r="545" ht="39.75" customHeight="1">
      <c r="A545" s="30"/>
      <c r="B545" s="31"/>
      <c r="C545" s="30"/>
      <c r="D545" s="30"/>
      <c r="E545" s="30"/>
      <c r="F545" s="30"/>
      <c r="G545" s="30"/>
      <c r="H545" s="30"/>
      <c r="I545" s="32"/>
      <c r="J545" s="30"/>
      <c r="K545" s="30"/>
      <c r="L545" s="30"/>
      <c r="M545" s="30"/>
      <c r="N545" s="30"/>
      <c r="O545" s="30"/>
      <c r="P545" s="30"/>
      <c r="Q545" s="30"/>
      <c r="R545" s="30"/>
      <c r="S545" s="30"/>
      <c r="T545" s="30"/>
      <c r="U545" s="30"/>
      <c r="V545" s="30"/>
      <c r="W545" s="30"/>
      <c r="X545" s="30"/>
      <c r="Y545" s="30"/>
      <c r="Z545" s="30"/>
      <c r="AA545" s="30"/>
      <c r="AB545" s="30"/>
      <c r="AC545" s="30"/>
    </row>
    <row r="546" ht="39.75" customHeight="1">
      <c r="A546" s="30"/>
      <c r="B546" s="31"/>
      <c r="C546" s="30"/>
      <c r="D546" s="30"/>
      <c r="E546" s="30"/>
      <c r="F546" s="30"/>
      <c r="G546" s="30"/>
      <c r="H546" s="30"/>
      <c r="I546" s="32"/>
      <c r="J546" s="30"/>
      <c r="K546" s="30"/>
      <c r="L546" s="30"/>
      <c r="M546" s="30"/>
      <c r="N546" s="30"/>
      <c r="O546" s="30"/>
      <c r="P546" s="30"/>
      <c r="Q546" s="30"/>
      <c r="R546" s="30"/>
      <c r="S546" s="30"/>
      <c r="T546" s="30"/>
      <c r="U546" s="30"/>
      <c r="V546" s="30"/>
      <c r="W546" s="30"/>
      <c r="X546" s="30"/>
      <c r="Y546" s="30"/>
      <c r="Z546" s="30"/>
      <c r="AA546" s="30"/>
      <c r="AB546" s="30"/>
      <c r="AC546" s="30"/>
    </row>
    <row r="547" ht="39.75" customHeight="1">
      <c r="A547" s="30"/>
      <c r="B547" s="31"/>
      <c r="C547" s="30"/>
      <c r="D547" s="30"/>
      <c r="E547" s="30"/>
      <c r="F547" s="30"/>
      <c r="G547" s="30"/>
      <c r="H547" s="30"/>
      <c r="I547" s="32"/>
      <c r="J547" s="30"/>
      <c r="K547" s="30"/>
      <c r="L547" s="30"/>
      <c r="M547" s="30"/>
      <c r="N547" s="30"/>
      <c r="O547" s="30"/>
      <c r="P547" s="30"/>
      <c r="Q547" s="30"/>
      <c r="R547" s="30"/>
      <c r="S547" s="30"/>
      <c r="T547" s="30"/>
      <c r="U547" s="30"/>
      <c r="V547" s="30"/>
      <c r="W547" s="30"/>
      <c r="X547" s="30"/>
      <c r="Y547" s="30"/>
      <c r="Z547" s="30"/>
      <c r="AA547" s="30"/>
      <c r="AB547" s="30"/>
      <c r="AC547" s="30"/>
    </row>
    <row r="548" ht="39.75" customHeight="1">
      <c r="A548" s="30"/>
      <c r="B548" s="31"/>
      <c r="C548" s="30"/>
      <c r="D548" s="30"/>
      <c r="E548" s="30"/>
      <c r="F548" s="30"/>
      <c r="G548" s="30"/>
      <c r="H548" s="30"/>
      <c r="I548" s="32"/>
      <c r="J548" s="30"/>
      <c r="K548" s="30"/>
      <c r="L548" s="30"/>
      <c r="M548" s="30"/>
      <c r="N548" s="30"/>
      <c r="O548" s="30"/>
      <c r="P548" s="30"/>
      <c r="Q548" s="30"/>
      <c r="R548" s="30"/>
      <c r="S548" s="30"/>
      <c r="T548" s="30"/>
      <c r="U548" s="30"/>
      <c r="V548" s="30"/>
      <c r="W548" s="30"/>
      <c r="X548" s="30"/>
      <c r="Y548" s="30"/>
      <c r="Z548" s="30"/>
      <c r="AA548" s="30"/>
      <c r="AB548" s="30"/>
      <c r="AC548" s="30"/>
    </row>
    <row r="549" ht="39.75" customHeight="1">
      <c r="A549" s="30"/>
      <c r="B549" s="31"/>
      <c r="C549" s="30"/>
      <c r="D549" s="30"/>
      <c r="E549" s="30"/>
      <c r="F549" s="30"/>
      <c r="G549" s="30"/>
      <c r="H549" s="30"/>
      <c r="I549" s="32"/>
      <c r="J549" s="30"/>
      <c r="K549" s="30"/>
      <c r="L549" s="30"/>
      <c r="M549" s="30"/>
      <c r="N549" s="30"/>
      <c r="O549" s="30"/>
      <c r="P549" s="30"/>
      <c r="Q549" s="30"/>
      <c r="R549" s="30"/>
      <c r="S549" s="30"/>
      <c r="T549" s="30"/>
      <c r="U549" s="30"/>
      <c r="V549" s="30"/>
      <c r="W549" s="30"/>
      <c r="X549" s="30"/>
      <c r="Y549" s="30"/>
      <c r="Z549" s="30"/>
      <c r="AA549" s="30"/>
      <c r="AB549" s="30"/>
      <c r="AC549" s="30"/>
    </row>
    <row r="550" ht="39.75" customHeight="1">
      <c r="A550" s="30"/>
      <c r="B550" s="31"/>
      <c r="C550" s="30"/>
      <c r="D550" s="30"/>
      <c r="E550" s="30"/>
      <c r="F550" s="30"/>
      <c r="G550" s="30"/>
      <c r="H550" s="30"/>
      <c r="I550" s="32"/>
      <c r="J550" s="30"/>
      <c r="K550" s="30"/>
      <c r="L550" s="30"/>
      <c r="M550" s="30"/>
      <c r="N550" s="30"/>
      <c r="O550" s="30"/>
      <c r="P550" s="30"/>
      <c r="Q550" s="30"/>
      <c r="R550" s="30"/>
      <c r="S550" s="30"/>
      <c r="T550" s="30"/>
      <c r="U550" s="30"/>
      <c r="V550" s="30"/>
      <c r="W550" s="30"/>
      <c r="X550" s="30"/>
      <c r="Y550" s="30"/>
      <c r="Z550" s="30"/>
      <c r="AA550" s="30"/>
      <c r="AB550" s="30"/>
      <c r="AC550" s="30"/>
    </row>
    <row r="551" ht="39.75" customHeight="1">
      <c r="A551" s="30"/>
      <c r="B551" s="31"/>
      <c r="C551" s="30"/>
      <c r="D551" s="30"/>
      <c r="E551" s="30"/>
      <c r="F551" s="30"/>
      <c r="G551" s="30"/>
      <c r="H551" s="30"/>
      <c r="I551" s="32"/>
      <c r="J551" s="30"/>
      <c r="K551" s="30"/>
      <c r="L551" s="30"/>
      <c r="M551" s="30"/>
      <c r="N551" s="30"/>
      <c r="O551" s="30"/>
      <c r="P551" s="30"/>
      <c r="Q551" s="30"/>
      <c r="R551" s="30"/>
      <c r="S551" s="30"/>
      <c r="T551" s="30"/>
      <c r="U551" s="30"/>
      <c r="V551" s="30"/>
      <c r="W551" s="30"/>
      <c r="X551" s="30"/>
      <c r="Y551" s="30"/>
      <c r="Z551" s="30"/>
      <c r="AA551" s="30"/>
      <c r="AB551" s="30"/>
      <c r="AC551" s="30"/>
    </row>
    <row r="552" ht="39.75" customHeight="1">
      <c r="A552" s="30"/>
      <c r="B552" s="31"/>
      <c r="C552" s="30"/>
      <c r="D552" s="30"/>
      <c r="E552" s="30"/>
      <c r="F552" s="30"/>
      <c r="G552" s="30"/>
      <c r="H552" s="30"/>
      <c r="I552" s="32"/>
      <c r="J552" s="30"/>
      <c r="K552" s="30"/>
      <c r="L552" s="30"/>
      <c r="M552" s="30"/>
      <c r="N552" s="30"/>
      <c r="O552" s="30"/>
      <c r="P552" s="30"/>
      <c r="Q552" s="30"/>
      <c r="R552" s="30"/>
      <c r="S552" s="30"/>
      <c r="T552" s="30"/>
      <c r="U552" s="30"/>
      <c r="V552" s="30"/>
      <c r="W552" s="30"/>
      <c r="X552" s="30"/>
      <c r="Y552" s="30"/>
      <c r="Z552" s="30"/>
      <c r="AA552" s="30"/>
      <c r="AB552" s="30"/>
      <c r="AC552" s="30"/>
    </row>
    <row r="553" ht="39.75" customHeight="1">
      <c r="A553" s="30"/>
      <c r="B553" s="31"/>
      <c r="C553" s="30"/>
      <c r="D553" s="30"/>
      <c r="E553" s="30"/>
      <c r="F553" s="30"/>
      <c r="G553" s="30"/>
      <c r="H553" s="30"/>
      <c r="I553" s="32"/>
      <c r="J553" s="30"/>
      <c r="K553" s="30"/>
      <c r="L553" s="30"/>
      <c r="M553" s="30"/>
      <c r="N553" s="30"/>
      <c r="O553" s="30"/>
      <c r="P553" s="30"/>
      <c r="Q553" s="30"/>
      <c r="R553" s="30"/>
      <c r="S553" s="30"/>
      <c r="T553" s="30"/>
      <c r="U553" s="30"/>
      <c r="V553" s="30"/>
      <c r="W553" s="30"/>
      <c r="X553" s="30"/>
      <c r="Y553" s="30"/>
      <c r="Z553" s="30"/>
      <c r="AA553" s="30"/>
      <c r="AB553" s="30"/>
      <c r="AC553" s="30"/>
    </row>
    <row r="554" ht="39.75" customHeight="1">
      <c r="A554" s="30"/>
      <c r="B554" s="31"/>
      <c r="C554" s="30"/>
      <c r="D554" s="30"/>
      <c r="E554" s="30"/>
      <c r="F554" s="30"/>
      <c r="G554" s="30"/>
      <c r="H554" s="30"/>
      <c r="I554" s="32"/>
      <c r="J554" s="30"/>
      <c r="K554" s="30"/>
      <c r="L554" s="30"/>
      <c r="M554" s="30"/>
      <c r="N554" s="30"/>
      <c r="O554" s="30"/>
      <c r="P554" s="30"/>
      <c r="Q554" s="30"/>
      <c r="R554" s="30"/>
      <c r="S554" s="30"/>
      <c r="T554" s="30"/>
      <c r="U554" s="30"/>
      <c r="V554" s="30"/>
      <c r="W554" s="30"/>
      <c r="X554" s="30"/>
      <c r="Y554" s="30"/>
      <c r="Z554" s="30"/>
      <c r="AA554" s="30"/>
      <c r="AB554" s="30"/>
      <c r="AC554" s="30"/>
    </row>
    <row r="555" ht="39.75" customHeight="1">
      <c r="A555" s="30"/>
      <c r="B555" s="31"/>
      <c r="C555" s="30"/>
      <c r="D555" s="30"/>
      <c r="E555" s="30"/>
      <c r="F555" s="30"/>
      <c r="G555" s="30"/>
      <c r="H555" s="30"/>
      <c r="I555" s="32"/>
      <c r="J555" s="30"/>
      <c r="K555" s="30"/>
      <c r="L555" s="30"/>
      <c r="M555" s="30"/>
      <c r="N555" s="30"/>
      <c r="O555" s="30"/>
      <c r="P555" s="30"/>
      <c r="Q555" s="30"/>
      <c r="R555" s="30"/>
      <c r="S555" s="30"/>
      <c r="T555" s="30"/>
      <c r="U555" s="30"/>
      <c r="V555" s="30"/>
      <c r="W555" s="30"/>
      <c r="X555" s="30"/>
      <c r="Y555" s="30"/>
      <c r="Z555" s="30"/>
      <c r="AA555" s="30"/>
      <c r="AB555" s="30"/>
      <c r="AC555" s="30"/>
    </row>
    <row r="556" ht="39.75" customHeight="1">
      <c r="A556" s="30"/>
      <c r="B556" s="31"/>
      <c r="C556" s="30"/>
      <c r="D556" s="30"/>
      <c r="E556" s="30"/>
      <c r="F556" s="30"/>
      <c r="G556" s="30"/>
      <c r="H556" s="30"/>
      <c r="I556" s="32"/>
      <c r="J556" s="30"/>
      <c r="K556" s="30"/>
      <c r="L556" s="30"/>
      <c r="M556" s="30"/>
      <c r="N556" s="30"/>
      <c r="O556" s="30"/>
      <c r="P556" s="30"/>
      <c r="Q556" s="30"/>
      <c r="R556" s="30"/>
      <c r="S556" s="30"/>
      <c r="T556" s="30"/>
      <c r="U556" s="30"/>
      <c r="V556" s="30"/>
      <c r="W556" s="30"/>
      <c r="X556" s="30"/>
      <c r="Y556" s="30"/>
      <c r="Z556" s="30"/>
      <c r="AA556" s="30"/>
      <c r="AB556" s="30"/>
      <c r="AC556" s="30"/>
    </row>
    <row r="557" ht="39.75" customHeight="1">
      <c r="A557" s="30"/>
      <c r="B557" s="31"/>
      <c r="C557" s="30"/>
      <c r="D557" s="30"/>
      <c r="E557" s="30"/>
      <c r="F557" s="30"/>
      <c r="G557" s="30"/>
      <c r="H557" s="30"/>
      <c r="I557" s="32"/>
      <c r="J557" s="30"/>
      <c r="K557" s="30"/>
      <c r="L557" s="30"/>
      <c r="M557" s="30"/>
      <c r="N557" s="30"/>
      <c r="O557" s="30"/>
      <c r="P557" s="30"/>
      <c r="Q557" s="30"/>
      <c r="R557" s="30"/>
      <c r="S557" s="30"/>
      <c r="T557" s="30"/>
      <c r="U557" s="30"/>
      <c r="V557" s="30"/>
      <c r="W557" s="30"/>
      <c r="X557" s="30"/>
      <c r="Y557" s="30"/>
      <c r="Z557" s="30"/>
      <c r="AA557" s="30"/>
      <c r="AB557" s="30"/>
      <c r="AC557" s="30"/>
    </row>
    <row r="558" ht="39.75" customHeight="1">
      <c r="A558" s="30"/>
      <c r="B558" s="31"/>
      <c r="C558" s="30"/>
      <c r="D558" s="30"/>
      <c r="E558" s="30"/>
      <c r="F558" s="30"/>
      <c r="G558" s="30"/>
      <c r="H558" s="30"/>
      <c r="I558" s="32"/>
      <c r="J558" s="30"/>
      <c r="K558" s="30"/>
      <c r="L558" s="30"/>
      <c r="M558" s="30"/>
      <c r="N558" s="30"/>
      <c r="O558" s="30"/>
      <c r="P558" s="30"/>
      <c r="Q558" s="30"/>
      <c r="R558" s="30"/>
      <c r="S558" s="30"/>
      <c r="T558" s="30"/>
      <c r="U558" s="30"/>
      <c r="V558" s="30"/>
      <c r="W558" s="30"/>
      <c r="X558" s="30"/>
      <c r="Y558" s="30"/>
      <c r="Z558" s="30"/>
      <c r="AA558" s="30"/>
      <c r="AB558" s="30"/>
      <c r="AC558" s="30"/>
    </row>
    <row r="559" ht="39.75" customHeight="1">
      <c r="A559" s="30"/>
      <c r="B559" s="31"/>
      <c r="C559" s="30"/>
      <c r="D559" s="30"/>
      <c r="E559" s="30"/>
      <c r="F559" s="30"/>
      <c r="G559" s="30"/>
      <c r="H559" s="30"/>
      <c r="I559" s="32"/>
      <c r="J559" s="30"/>
      <c r="K559" s="30"/>
      <c r="L559" s="30"/>
      <c r="M559" s="30"/>
      <c r="N559" s="30"/>
      <c r="O559" s="30"/>
      <c r="P559" s="30"/>
      <c r="Q559" s="30"/>
      <c r="R559" s="30"/>
      <c r="S559" s="30"/>
      <c r="T559" s="30"/>
      <c r="U559" s="30"/>
      <c r="V559" s="30"/>
      <c r="W559" s="30"/>
      <c r="X559" s="30"/>
      <c r="Y559" s="30"/>
      <c r="Z559" s="30"/>
      <c r="AA559" s="30"/>
      <c r="AB559" s="30"/>
      <c r="AC559" s="30"/>
    </row>
    <row r="560" ht="39.75" customHeight="1">
      <c r="A560" s="30"/>
      <c r="B560" s="31"/>
      <c r="C560" s="30"/>
      <c r="D560" s="30"/>
      <c r="E560" s="30"/>
      <c r="F560" s="30"/>
      <c r="G560" s="30"/>
      <c r="H560" s="30"/>
      <c r="I560" s="32"/>
      <c r="J560" s="30"/>
      <c r="K560" s="30"/>
      <c r="L560" s="30"/>
      <c r="M560" s="30"/>
      <c r="N560" s="30"/>
      <c r="O560" s="30"/>
      <c r="P560" s="30"/>
      <c r="Q560" s="30"/>
      <c r="R560" s="30"/>
      <c r="S560" s="30"/>
      <c r="T560" s="30"/>
      <c r="U560" s="30"/>
      <c r="V560" s="30"/>
      <c r="W560" s="30"/>
      <c r="X560" s="30"/>
      <c r="Y560" s="30"/>
      <c r="Z560" s="30"/>
      <c r="AA560" s="30"/>
      <c r="AB560" s="30"/>
      <c r="AC560" s="30"/>
    </row>
    <row r="561" ht="39.75" customHeight="1">
      <c r="A561" s="30"/>
      <c r="B561" s="31"/>
      <c r="C561" s="30"/>
      <c r="D561" s="30"/>
      <c r="E561" s="30"/>
      <c r="F561" s="30"/>
      <c r="G561" s="30"/>
      <c r="H561" s="30"/>
      <c r="I561" s="32"/>
      <c r="J561" s="30"/>
      <c r="K561" s="30"/>
      <c r="L561" s="30"/>
      <c r="M561" s="30"/>
      <c r="N561" s="30"/>
      <c r="O561" s="30"/>
      <c r="P561" s="30"/>
      <c r="Q561" s="30"/>
      <c r="R561" s="30"/>
      <c r="S561" s="30"/>
      <c r="T561" s="30"/>
      <c r="U561" s="30"/>
      <c r="V561" s="30"/>
      <c r="W561" s="30"/>
      <c r="X561" s="30"/>
      <c r="Y561" s="30"/>
      <c r="Z561" s="30"/>
      <c r="AA561" s="30"/>
      <c r="AB561" s="30"/>
      <c r="AC561" s="30"/>
    </row>
    <row r="562" ht="39.75" customHeight="1">
      <c r="A562" s="30"/>
      <c r="B562" s="31"/>
      <c r="C562" s="30"/>
      <c r="D562" s="30"/>
      <c r="E562" s="30"/>
      <c r="F562" s="30"/>
      <c r="G562" s="30"/>
      <c r="H562" s="30"/>
      <c r="I562" s="32"/>
      <c r="J562" s="30"/>
      <c r="K562" s="30"/>
      <c r="L562" s="30"/>
      <c r="M562" s="30"/>
      <c r="N562" s="30"/>
      <c r="O562" s="30"/>
      <c r="P562" s="30"/>
      <c r="Q562" s="30"/>
      <c r="R562" s="30"/>
      <c r="S562" s="30"/>
      <c r="T562" s="30"/>
      <c r="U562" s="30"/>
      <c r="V562" s="30"/>
      <c r="W562" s="30"/>
      <c r="X562" s="30"/>
      <c r="Y562" s="30"/>
      <c r="Z562" s="30"/>
      <c r="AA562" s="30"/>
      <c r="AB562" s="30"/>
      <c r="AC562" s="30"/>
    </row>
    <row r="563" ht="39.75" customHeight="1">
      <c r="A563" s="30"/>
      <c r="B563" s="31"/>
      <c r="C563" s="30"/>
      <c r="D563" s="30"/>
      <c r="E563" s="30"/>
      <c r="F563" s="30"/>
      <c r="G563" s="30"/>
      <c r="H563" s="30"/>
      <c r="I563" s="32"/>
      <c r="J563" s="30"/>
      <c r="K563" s="30"/>
      <c r="L563" s="30"/>
      <c r="M563" s="30"/>
      <c r="N563" s="30"/>
      <c r="O563" s="30"/>
      <c r="P563" s="30"/>
      <c r="Q563" s="30"/>
      <c r="R563" s="30"/>
      <c r="S563" s="30"/>
      <c r="T563" s="30"/>
      <c r="U563" s="30"/>
      <c r="V563" s="30"/>
      <c r="W563" s="30"/>
      <c r="X563" s="30"/>
      <c r="Y563" s="30"/>
      <c r="Z563" s="30"/>
      <c r="AA563" s="30"/>
      <c r="AB563" s="30"/>
      <c r="AC563" s="30"/>
    </row>
    <row r="564" ht="39.75" customHeight="1">
      <c r="A564" s="30"/>
      <c r="B564" s="31"/>
      <c r="C564" s="30"/>
      <c r="D564" s="30"/>
      <c r="E564" s="30"/>
      <c r="F564" s="30"/>
      <c r="G564" s="30"/>
      <c r="H564" s="30"/>
      <c r="I564" s="32"/>
      <c r="J564" s="30"/>
      <c r="K564" s="30"/>
      <c r="L564" s="30"/>
      <c r="M564" s="30"/>
      <c r="N564" s="30"/>
      <c r="O564" s="30"/>
      <c r="P564" s="30"/>
      <c r="Q564" s="30"/>
      <c r="R564" s="30"/>
      <c r="S564" s="30"/>
      <c r="T564" s="30"/>
      <c r="U564" s="30"/>
      <c r="V564" s="30"/>
      <c r="W564" s="30"/>
      <c r="X564" s="30"/>
      <c r="Y564" s="30"/>
      <c r="Z564" s="30"/>
      <c r="AA564" s="30"/>
      <c r="AB564" s="30"/>
      <c r="AC564" s="30"/>
    </row>
    <row r="565" ht="39.75" customHeight="1">
      <c r="A565" s="30"/>
      <c r="B565" s="31"/>
      <c r="C565" s="30"/>
      <c r="D565" s="30"/>
      <c r="E565" s="30"/>
      <c r="F565" s="30"/>
      <c r="G565" s="30"/>
      <c r="H565" s="30"/>
      <c r="I565" s="32"/>
      <c r="J565" s="30"/>
      <c r="K565" s="30"/>
      <c r="L565" s="30"/>
      <c r="M565" s="30"/>
      <c r="N565" s="30"/>
      <c r="O565" s="30"/>
      <c r="P565" s="30"/>
      <c r="Q565" s="30"/>
      <c r="R565" s="30"/>
      <c r="S565" s="30"/>
      <c r="T565" s="30"/>
      <c r="U565" s="30"/>
      <c r="V565" s="30"/>
      <c r="W565" s="30"/>
      <c r="X565" s="30"/>
      <c r="Y565" s="30"/>
      <c r="Z565" s="30"/>
      <c r="AA565" s="30"/>
      <c r="AB565" s="30"/>
      <c r="AC565" s="30"/>
    </row>
    <row r="566" ht="39.75" customHeight="1">
      <c r="A566" s="30"/>
      <c r="B566" s="31"/>
      <c r="C566" s="30"/>
      <c r="D566" s="30"/>
      <c r="E566" s="30"/>
      <c r="F566" s="30"/>
      <c r="G566" s="30"/>
      <c r="H566" s="30"/>
      <c r="I566" s="32"/>
      <c r="J566" s="30"/>
      <c r="K566" s="30"/>
      <c r="L566" s="30"/>
      <c r="M566" s="30"/>
      <c r="N566" s="30"/>
      <c r="O566" s="30"/>
      <c r="P566" s="30"/>
      <c r="Q566" s="30"/>
      <c r="R566" s="30"/>
      <c r="S566" s="30"/>
      <c r="T566" s="30"/>
      <c r="U566" s="30"/>
      <c r="V566" s="30"/>
      <c r="W566" s="30"/>
      <c r="X566" s="30"/>
      <c r="Y566" s="30"/>
      <c r="Z566" s="30"/>
      <c r="AA566" s="30"/>
      <c r="AB566" s="30"/>
      <c r="AC566" s="30"/>
    </row>
    <row r="567" ht="39.75" customHeight="1">
      <c r="A567" s="30"/>
      <c r="B567" s="31"/>
      <c r="C567" s="30"/>
      <c r="D567" s="30"/>
      <c r="E567" s="30"/>
      <c r="F567" s="30"/>
      <c r="G567" s="30"/>
      <c r="H567" s="30"/>
      <c r="I567" s="32"/>
      <c r="J567" s="30"/>
      <c r="K567" s="30"/>
      <c r="L567" s="30"/>
      <c r="M567" s="30"/>
      <c r="N567" s="30"/>
      <c r="O567" s="30"/>
      <c r="P567" s="30"/>
      <c r="Q567" s="30"/>
      <c r="R567" s="30"/>
      <c r="S567" s="30"/>
      <c r="T567" s="30"/>
      <c r="U567" s="30"/>
      <c r="V567" s="30"/>
      <c r="W567" s="30"/>
      <c r="X567" s="30"/>
      <c r="Y567" s="30"/>
      <c r="Z567" s="30"/>
      <c r="AA567" s="30"/>
      <c r="AB567" s="30"/>
      <c r="AC567" s="30"/>
    </row>
    <row r="568" ht="39.75" customHeight="1">
      <c r="A568" s="30"/>
      <c r="B568" s="31"/>
      <c r="C568" s="30"/>
      <c r="D568" s="30"/>
      <c r="E568" s="30"/>
      <c r="F568" s="30"/>
      <c r="G568" s="30"/>
      <c r="H568" s="30"/>
      <c r="I568" s="32"/>
      <c r="J568" s="30"/>
      <c r="K568" s="30"/>
      <c r="L568" s="30"/>
      <c r="M568" s="30"/>
      <c r="N568" s="30"/>
      <c r="O568" s="30"/>
      <c r="P568" s="30"/>
      <c r="Q568" s="30"/>
      <c r="R568" s="30"/>
      <c r="S568" s="30"/>
      <c r="T568" s="30"/>
      <c r="U568" s="30"/>
      <c r="V568" s="30"/>
      <c r="W568" s="30"/>
      <c r="X568" s="30"/>
      <c r="Y568" s="30"/>
      <c r="Z568" s="30"/>
      <c r="AA568" s="30"/>
      <c r="AB568" s="30"/>
      <c r="AC568" s="30"/>
    </row>
    <row r="569" ht="39.75" customHeight="1">
      <c r="A569" s="30"/>
      <c r="B569" s="31"/>
      <c r="C569" s="30"/>
      <c r="D569" s="30"/>
      <c r="E569" s="30"/>
      <c r="F569" s="30"/>
      <c r="G569" s="30"/>
      <c r="H569" s="30"/>
      <c r="I569" s="32"/>
      <c r="J569" s="30"/>
      <c r="K569" s="30"/>
      <c r="L569" s="30"/>
      <c r="M569" s="30"/>
      <c r="N569" s="30"/>
      <c r="O569" s="30"/>
      <c r="P569" s="30"/>
      <c r="Q569" s="30"/>
      <c r="R569" s="30"/>
      <c r="S569" s="30"/>
      <c r="T569" s="30"/>
      <c r="U569" s="30"/>
      <c r="V569" s="30"/>
      <c r="W569" s="30"/>
      <c r="X569" s="30"/>
      <c r="Y569" s="30"/>
      <c r="Z569" s="30"/>
      <c r="AA569" s="30"/>
      <c r="AB569" s="30"/>
      <c r="AC569" s="30"/>
    </row>
    <row r="570" ht="39.75" customHeight="1">
      <c r="A570" s="30"/>
      <c r="B570" s="31"/>
      <c r="C570" s="30"/>
      <c r="D570" s="30"/>
      <c r="E570" s="30"/>
      <c r="F570" s="30"/>
      <c r="G570" s="30"/>
      <c r="H570" s="30"/>
      <c r="I570" s="32"/>
      <c r="J570" s="30"/>
      <c r="K570" s="30"/>
      <c r="L570" s="30"/>
      <c r="M570" s="30"/>
      <c r="N570" s="30"/>
      <c r="O570" s="30"/>
      <c r="P570" s="30"/>
      <c r="Q570" s="30"/>
      <c r="R570" s="30"/>
      <c r="S570" s="30"/>
      <c r="T570" s="30"/>
      <c r="U570" s="30"/>
      <c r="V570" s="30"/>
      <c r="W570" s="30"/>
      <c r="X570" s="30"/>
      <c r="Y570" s="30"/>
      <c r="Z570" s="30"/>
      <c r="AA570" s="30"/>
      <c r="AB570" s="30"/>
      <c r="AC570" s="30"/>
    </row>
    <row r="571" ht="39.75" customHeight="1">
      <c r="A571" s="30"/>
      <c r="B571" s="31"/>
      <c r="C571" s="30"/>
      <c r="D571" s="30"/>
      <c r="E571" s="30"/>
      <c r="F571" s="30"/>
      <c r="G571" s="30"/>
      <c r="H571" s="30"/>
      <c r="I571" s="32"/>
      <c r="J571" s="30"/>
      <c r="K571" s="30"/>
      <c r="L571" s="30"/>
      <c r="M571" s="30"/>
      <c r="N571" s="30"/>
      <c r="O571" s="30"/>
      <c r="P571" s="30"/>
      <c r="Q571" s="30"/>
      <c r="R571" s="30"/>
      <c r="S571" s="30"/>
      <c r="T571" s="30"/>
      <c r="U571" s="30"/>
      <c r="V571" s="30"/>
      <c r="W571" s="30"/>
      <c r="X571" s="30"/>
      <c r="Y571" s="30"/>
      <c r="Z571" s="30"/>
      <c r="AA571" s="30"/>
      <c r="AB571" s="30"/>
      <c r="AC571" s="30"/>
    </row>
    <row r="572" ht="39.75" customHeight="1">
      <c r="A572" s="30"/>
      <c r="B572" s="31"/>
      <c r="C572" s="30"/>
      <c r="D572" s="30"/>
      <c r="E572" s="30"/>
      <c r="F572" s="30"/>
      <c r="G572" s="30"/>
      <c r="H572" s="30"/>
      <c r="I572" s="32"/>
      <c r="J572" s="30"/>
      <c r="K572" s="30"/>
      <c r="L572" s="30"/>
      <c r="M572" s="30"/>
      <c r="N572" s="30"/>
      <c r="O572" s="30"/>
      <c r="P572" s="30"/>
      <c r="Q572" s="30"/>
      <c r="R572" s="30"/>
      <c r="S572" s="30"/>
      <c r="T572" s="30"/>
      <c r="U572" s="30"/>
      <c r="V572" s="30"/>
      <c r="W572" s="30"/>
      <c r="X572" s="30"/>
      <c r="Y572" s="30"/>
      <c r="Z572" s="30"/>
      <c r="AA572" s="30"/>
      <c r="AB572" s="30"/>
      <c r="AC572" s="30"/>
    </row>
    <row r="573" ht="39.75" customHeight="1">
      <c r="A573" s="30"/>
      <c r="B573" s="31"/>
      <c r="C573" s="30"/>
      <c r="D573" s="30"/>
      <c r="E573" s="30"/>
      <c r="F573" s="30"/>
      <c r="G573" s="30"/>
      <c r="H573" s="30"/>
      <c r="I573" s="32"/>
      <c r="J573" s="30"/>
      <c r="K573" s="30"/>
      <c r="L573" s="30"/>
      <c r="M573" s="30"/>
      <c r="N573" s="30"/>
      <c r="O573" s="30"/>
      <c r="P573" s="30"/>
      <c r="Q573" s="30"/>
      <c r="R573" s="30"/>
      <c r="S573" s="30"/>
      <c r="T573" s="30"/>
      <c r="U573" s="30"/>
      <c r="V573" s="30"/>
      <c r="W573" s="30"/>
      <c r="X573" s="30"/>
      <c r="Y573" s="30"/>
      <c r="Z573" s="30"/>
      <c r="AA573" s="30"/>
      <c r="AB573" s="30"/>
      <c r="AC573" s="30"/>
    </row>
    <row r="574" ht="39.75" customHeight="1">
      <c r="A574" s="30"/>
      <c r="B574" s="31"/>
      <c r="C574" s="30"/>
      <c r="D574" s="30"/>
      <c r="E574" s="30"/>
      <c r="F574" s="30"/>
      <c r="G574" s="30"/>
      <c r="H574" s="30"/>
      <c r="I574" s="32"/>
      <c r="J574" s="30"/>
      <c r="K574" s="30"/>
      <c r="L574" s="30"/>
      <c r="M574" s="30"/>
      <c r="N574" s="30"/>
      <c r="O574" s="30"/>
      <c r="P574" s="30"/>
      <c r="Q574" s="30"/>
      <c r="R574" s="30"/>
      <c r="S574" s="30"/>
      <c r="T574" s="30"/>
      <c r="U574" s="30"/>
      <c r="V574" s="30"/>
      <c r="W574" s="30"/>
      <c r="X574" s="30"/>
      <c r="Y574" s="30"/>
      <c r="Z574" s="30"/>
      <c r="AA574" s="30"/>
      <c r="AB574" s="30"/>
      <c r="AC574" s="30"/>
    </row>
    <row r="575" ht="39.75" customHeight="1">
      <c r="A575" s="30"/>
      <c r="B575" s="31"/>
      <c r="C575" s="30"/>
      <c r="D575" s="30"/>
      <c r="E575" s="30"/>
      <c r="F575" s="30"/>
      <c r="G575" s="30"/>
      <c r="H575" s="30"/>
      <c r="I575" s="32"/>
      <c r="J575" s="30"/>
      <c r="K575" s="30"/>
      <c r="L575" s="30"/>
      <c r="M575" s="30"/>
      <c r="N575" s="30"/>
      <c r="O575" s="30"/>
      <c r="P575" s="30"/>
      <c r="Q575" s="30"/>
      <c r="R575" s="30"/>
      <c r="S575" s="30"/>
      <c r="T575" s="30"/>
      <c r="U575" s="30"/>
      <c r="V575" s="30"/>
      <c r="W575" s="30"/>
      <c r="X575" s="30"/>
      <c r="Y575" s="30"/>
      <c r="Z575" s="30"/>
      <c r="AA575" s="30"/>
      <c r="AB575" s="30"/>
      <c r="AC575" s="30"/>
    </row>
    <row r="576" ht="39.75" customHeight="1">
      <c r="A576" s="30"/>
      <c r="B576" s="31"/>
      <c r="C576" s="30"/>
      <c r="D576" s="30"/>
      <c r="E576" s="30"/>
      <c r="F576" s="30"/>
      <c r="G576" s="30"/>
      <c r="H576" s="30"/>
      <c r="I576" s="32"/>
      <c r="J576" s="30"/>
      <c r="K576" s="30"/>
      <c r="L576" s="30"/>
      <c r="M576" s="30"/>
      <c r="N576" s="30"/>
      <c r="O576" s="30"/>
      <c r="P576" s="30"/>
      <c r="Q576" s="30"/>
      <c r="R576" s="30"/>
      <c r="S576" s="30"/>
      <c r="T576" s="30"/>
      <c r="U576" s="30"/>
      <c r="V576" s="30"/>
      <c r="W576" s="30"/>
      <c r="X576" s="30"/>
      <c r="Y576" s="30"/>
      <c r="Z576" s="30"/>
      <c r="AA576" s="30"/>
      <c r="AB576" s="30"/>
      <c r="AC576" s="30"/>
    </row>
    <row r="577" ht="39.75" customHeight="1">
      <c r="A577" s="30"/>
      <c r="B577" s="31"/>
      <c r="C577" s="30"/>
      <c r="D577" s="30"/>
      <c r="E577" s="30"/>
      <c r="F577" s="30"/>
      <c r="G577" s="30"/>
      <c r="H577" s="30"/>
      <c r="I577" s="32"/>
      <c r="J577" s="30"/>
      <c r="K577" s="30"/>
      <c r="L577" s="30"/>
      <c r="M577" s="30"/>
      <c r="N577" s="30"/>
      <c r="O577" s="30"/>
      <c r="P577" s="30"/>
      <c r="Q577" s="30"/>
      <c r="R577" s="30"/>
      <c r="S577" s="30"/>
      <c r="T577" s="30"/>
      <c r="U577" s="30"/>
      <c r="V577" s="30"/>
      <c r="W577" s="30"/>
      <c r="X577" s="30"/>
      <c r="Y577" s="30"/>
      <c r="Z577" s="30"/>
      <c r="AA577" s="30"/>
      <c r="AB577" s="30"/>
      <c r="AC577" s="30"/>
    </row>
    <row r="578" ht="39.75" customHeight="1">
      <c r="A578" s="30"/>
      <c r="B578" s="31"/>
      <c r="C578" s="30"/>
      <c r="D578" s="30"/>
      <c r="E578" s="30"/>
      <c r="F578" s="30"/>
      <c r="G578" s="30"/>
      <c r="H578" s="30"/>
      <c r="I578" s="32"/>
      <c r="J578" s="30"/>
      <c r="K578" s="30"/>
      <c r="L578" s="30"/>
      <c r="M578" s="30"/>
      <c r="N578" s="30"/>
      <c r="O578" s="30"/>
      <c r="P578" s="30"/>
      <c r="Q578" s="30"/>
      <c r="R578" s="30"/>
      <c r="S578" s="30"/>
      <c r="T578" s="30"/>
      <c r="U578" s="30"/>
      <c r="V578" s="30"/>
      <c r="W578" s="30"/>
      <c r="X578" s="30"/>
      <c r="Y578" s="30"/>
      <c r="Z578" s="30"/>
      <c r="AA578" s="30"/>
      <c r="AB578" s="30"/>
      <c r="AC578" s="30"/>
    </row>
    <row r="579" ht="39.75" customHeight="1">
      <c r="A579" s="30"/>
      <c r="B579" s="31"/>
      <c r="C579" s="30"/>
      <c r="D579" s="30"/>
      <c r="E579" s="30"/>
      <c r="F579" s="30"/>
      <c r="G579" s="30"/>
      <c r="H579" s="30"/>
      <c r="I579" s="32"/>
      <c r="J579" s="30"/>
      <c r="K579" s="30"/>
      <c r="L579" s="30"/>
      <c r="M579" s="30"/>
      <c r="N579" s="30"/>
      <c r="O579" s="30"/>
      <c r="P579" s="30"/>
      <c r="Q579" s="30"/>
      <c r="R579" s="30"/>
      <c r="S579" s="30"/>
      <c r="T579" s="30"/>
      <c r="U579" s="30"/>
      <c r="V579" s="30"/>
      <c r="W579" s="30"/>
      <c r="X579" s="30"/>
      <c r="Y579" s="30"/>
      <c r="Z579" s="30"/>
      <c r="AA579" s="30"/>
      <c r="AB579" s="30"/>
      <c r="AC579" s="30"/>
    </row>
    <row r="580" ht="39.75" customHeight="1">
      <c r="A580" s="30"/>
      <c r="B580" s="31"/>
      <c r="C580" s="30"/>
      <c r="D580" s="30"/>
      <c r="E580" s="30"/>
      <c r="F580" s="30"/>
      <c r="G580" s="30"/>
      <c r="H580" s="30"/>
      <c r="I580" s="32"/>
      <c r="J580" s="30"/>
      <c r="K580" s="30"/>
      <c r="L580" s="30"/>
      <c r="M580" s="30"/>
      <c r="N580" s="30"/>
      <c r="O580" s="30"/>
      <c r="P580" s="30"/>
      <c r="Q580" s="30"/>
      <c r="R580" s="30"/>
      <c r="S580" s="30"/>
      <c r="T580" s="30"/>
      <c r="U580" s="30"/>
      <c r="V580" s="30"/>
      <c r="W580" s="30"/>
      <c r="X580" s="30"/>
      <c r="Y580" s="30"/>
      <c r="Z580" s="30"/>
      <c r="AA580" s="30"/>
      <c r="AB580" s="30"/>
      <c r="AC580" s="30"/>
    </row>
    <row r="581" ht="39.75" customHeight="1">
      <c r="A581" s="30"/>
      <c r="B581" s="31"/>
      <c r="C581" s="30"/>
      <c r="D581" s="30"/>
      <c r="E581" s="30"/>
      <c r="F581" s="30"/>
      <c r="G581" s="30"/>
      <c r="H581" s="30"/>
      <c r="I581" s="32"/>
      <c r="J581" s="30"/>
      <c r="K581" s="30"/>
      <c r="L581" s="30"/>
      <c r="M581" s="30"/>
      <c r="N581" s="30"/>
      <c r="O581" s="30"/>
      <c r="P581" s="30"/>
      <c r="Q581" s="30"/>
      <c r="R581" s="30"/>
      <c r="S581" s="30"/>
      <c r="T581" s="30"/>
      <c r="U581" s="30"/>
      <c r="V581" s="30"/>
      <c r="W581" s="30"/>
      <c r="X581" s="30"/>
      <c r="Y581" s="30"/>
      <c r="Z581" s="30"/>
      <c r="AA581" s="30"/>
      <c r="AB581" s="30"/>
      <c r="AC581" s="30"/>
    </row>
    <row r="582" ht="39.75" customHeight="1">
      <c r="A582" s="30"/>
      <c r="B582" s="31"/>
      <c r="C582" s="30"/>
      <c r="D582" s="30"/>
      <c r="E582" s="30"/>
      <c r="F582" s="30"/>
      <c r="G582" s="30"/>
      <c r="H582" s="30"/>
      <c r="I582" s="32"/>
      <c r="J582" s="30"/>
      <c r="K582" s="30"/>
      <c r="L582" s="30"/>
      <c r="M582" s="30"/>
      <c r="N582" s="30"/>
      <c r="O582" s="30"/>
      <c r="P582" s="30"/>
      <c r="Q582" s="30"/>
      <c r="R582" s="30"/>
      <c r="S582" s="30"/>
      <c r="T582" s="30"/>
      <c r="U582" s="30"/>
      <c r="V582" s="30"/>
      <c r="W582" s="30"/>
      <c r="X582" s="30"/>
      <c r="Y582" s="30"/>
      <c r="Z582" s="30"/>
      <c r="AA582" s="30"/>
      <c r="AB582" s="30"/>
      <c r="AC582" s="30"/>
    </row>
    <row r="583" ht="39.75" customHeight="1">
      <c r="A583" s="30"/>
      <c r="B583" s="31"/>
      <c r="C583" s="30"/>
      <c r="D583" s="30"/>
      <c r="E583" s="30"/>
      <c r="F583" s="30"/>
      <c r="G583" s="30"/>
      <c r="H583" s="30"/>
      <c r="I583" s="32"/>
      <c r="J583" s="30"/>
      <c r="K583" s="30"/>
      <c r="L583" s="30"/>
      <c r="M583" s="30"/>
      <c r="N583" s="30"/>
      <c r="O583" s="30"/>
      <c r="P583" s="30"/>
      <c r="Q583" s="30"/>
      <c r="R583" s="30"/>
      <c r="S583" s="30"/>
      <c r="T583" s="30"/>
      <c r="U583" s="30"/>
      <c r="V583" s="30"/>
      <c r="W583" s="30"/>
      <c r="X583" s="30"/>
      <c r="Y583" s="30"/>
      <c r="Z583" s="30"/>
      <c r="AA583" s="30"/>
      <c r="AB583" s="30"/>
      <c r="AC583" s="30"/>
    </row>
    <row r="584" ht="39.75" customHeight="1">
      <c r="A584" s="30"/>
      <c r="B584" s="31"/>
      <c r="C584" s="30"/>
      <c r="D584" s="30"/>
      <c r="E584" s="30"/>
      <c r="F584" s="30"/>
      <c r="G584" s="30"/>
      <c r="H584" s="30"/>
      <c r="I584" s="32"/>
      <c r="J584" s="30"/>
      <c r="K584" s="30"/>
      <c r="L584" s="30"/>
      <c r="M584" s="30"/>
      <c r="N584" s="30"/>
      <c r="O584" s="30"/>
      <c r="P584" s="30"/>
      <c r="Q584" s="30"/>
      <c r="R584" s="30"/>
      <c r="S584" s="30"/>
      <c r="T584" s="30"/>
      <c r="U584" s="30"/>
      <c r="V584" s="30"/>
      <c r="W584" s="30"/>
      <c r="X584" s="30"/>
      <c r="Y584" s="30"/>
      <c r="Z584" s="30"/>
      <c r="AA584" s="30"/>
      <c r="AB584" s="30"/>
      <c r="AC584" s="30"/>
    </row>
    <row r="585" ht="39.75" customHeight="1">
      <c r="A585" s="30"/>
      <c r="B585" s="31"/>
      <c r="C585" s="30"/>
      <c r="D585" s="30"/>
      <c r="E585" s="30"/>
      <c r="F585" s="30"/>
      <c r="G585" s="30"/>
      <c r="H585" s="30"/>
      <c r="I585" s="32"/>
      <c r="J585" s="30"/>
      <c r="K585" s="30"/>
      <c r="L585" s="30"/>
      <c r="M585" s="30"/>
      <c r="N585" s="30"/>
      <c r="O585" s="30"/>
      <c r="P585" s="30"/>
      <c r="Q585" s="30"/>
      <c r="R585" s="30"/>
      <c r="S585" s="30"/>
      <c r="T585" s="30"/>
      <c r="U585" s="30"/>
      <c r="V585" s="30"/>
      <c r="W585" s="30"/>
      <c r="X585" s="30"/>
      <c r="Y585" s="30"/>
      <c r="Z585" s="30"/>
      <c r="AA585" s="30"/>
      <c r="AB585" s="30"/>
      <c r="AC585" s="30"/>
    </row>
    <row r="586" ht="39.75" customHeight="1">
      <c r="A586" s="30"/>
      <c r="B586" s="31"/>
      <c r="C586" s="30"/>
      <c r="D586" s="30"/>
      <c r="E586" s="30"/>
      <c r="F586" s="30"/>
      <c r="G586" s="30"/>
      <c r="H586" s="30"/>
      <c r="I586" s="32"/>
      <c r="J586" s="30"/>
      <c r="K586" s="30"/>
      <c r="L586" s="30"/>
      <c r="M586" s="30"/>
      <c r="N586" s="30"/>
      <c r="O586" s="30"/>
      <c r="P586" s="30"/>
      <c r="Q586" s="30"/>
      <c r="R586" s="30"/>
      <c r="S586" s="30"/>
      <c r="T586" s="30"/>
      <c r="U586" s="30"/>
      <c r="V586" s="30"/>
      <c r="W586" s="30"/>
      <c r="X586" s="30"/>
      <c r="Y586" s="30"/>
      <c r="Z586" s="30"/>
      <c r="AA586" s="30"/>
      <c r="AB586" s="30"/>
      <c r="AC586" s="30"/>
    </row>
    <row r="587" ht="39.75" customHeight="1">
      <c r="A587" s="30"/>
      <c r="B587" s="31"/>
      <c r="C587" s="30"/>
      <c r="D587" s="30"/>
      <c r="E587" s="30"/>
      <c r="F587" s="30"/>
      <c r="G587" s="30"/>
      <c r="H587" s="30"/>
      <c r="I587" s="32"/>
      <c r="J587" s="30"/>
      <c r="K587" s="30"/>
      <c r="L587" s="30"/>
      <c r="M587" s="30"/>
      <c r="N587" s="30"/>
      <c r="O587" s="30"/>
      <c r="P587" s="30"/>
      <c r="Q587" s="30"/>
      <c r="R587" s="30"/>
      <c r="S587" s="30"/>
      <c r="T587" s="30"/>
      <c r="U587" s="30"/>
      <c r="V587" s="30"/>
      <c r="W587" s="30"/>
      <c r="X587" s="30"/>
      <c r="Y587" s="30"/>
      <c r="Z587" s="30"/>
      <c r="AA587" s="30"/>
      <c r="AB587" s="30"/>
      <c r="AC587" s="30"/>
    </row>
    <row r="588" ht="39.75" customHeight="1">
      <c r="A588" s="30"/>
      <c r="B588" s="31"/>
      <c r="C588" s="30"/>
      <c r="D588" s="30"/>
      <c r="E588" s="30"/>
      <c r="F588" s="30"/>
      <c r="G588" s="30"/>
      <c r="H588" s="30"/>
      <c r="I588" s="32"/>
      <c r="J588" s="30"/>
      <c r="K588" s="30"/>
      <c r="L588" s="30"/>
      <c r="M588" s="30"/>
      <c r="N588" s="30"/>
      <c r="O588" s="30"/>
      <c r="P588" s="30"/>
      <c r="Q588" s="30"/>
      <c r="R588" s="30"/>
      <c r="S588" s="30"/>
      <c r="T588" s="30"/>
      <c r="U588" s="30"/>
      <c r="V588" s="30"/>
      <c r="W588" s="30"/>
      <c r="X588" s="30"/>
      <c r="Y588" s="30"/>
      <c r="Z588" s="30"/>
      <c r="AA588" s="30"/>
      <c r="AB588" s="30"/>
      <c r="AC588" s="30"/>
    </row>
    <row r="589" ht="39.75" customHeight="1">
      <c r="A589" s="30"/>
      <c r="B589" s="31"/>
      <c r="C589" s="30"/>
      <c r="D589" s="30"/>
      <c r="E589" s="30"/>
      <c r="F589" s="30"/>
      <c r="G589" s="30"/>
      <c r="H589" s="30"/>
      <c r="I589" s="32"/>
      <c r="J589" s="30"/>
      <c r="K589" s="30"/>
      <c r="L589" s="30"/>
      <c r="M589" s="30"/>
      <c r="N589" s="30"/>
      <c r="O589" s="30"/>
      <c r="P589" s="30"/>
      <c r="Q589" s="30"/>
      <c r="R589" s="30"/>
      <c r="S589" s="30"/>
      <c r="T589" s="30"/>
      <c r="U589" s="30"/>
      <c r="V589" s="30"/>
      <c r="W589" s="30"/>
      <c r="X589" s="30"/>
      <c r="Y589" s="30"/>
      <c r="Z589" s="30"/>
      <c r="AA589" s="30"/>
      <c r="AB589" s="30"/>
      <c r="AC589" s="30"/>
    </row>
    <row r="590" ht="39.75" customHeight="1">
      <c r="A590" s="30"/>
      <c r="B590" s="31"/>
      <c r="C590" s="30"/>
      <c r="D590" s="30"/>
      <c r="E590" s="30"/>
      <c r="F590" s="30"/>
      <c r="G590" s="30"/>
      <c r="H590" s="30"/>
      <c r="I590" s="32"/>
      <c r="J590" s="30"/>
      <c r="K590" s="30"/>
      <c r="L590" s="30"/>
      <c r="M590" s="30"/>
      <c r="N590" s="30"/>
      <c r="O590" s="30"/>
      <c r="P590" s="30"/>
      <c r="Q590" s="30"/>
      <c r="R590" s="30"/>
      <c r="S590" s="30"/>
      <c r="T590" s="30"/>
      <c r="U590" s="30"/>
      <c r="V590" s="30"/>
      <c r="W590" s="30"/>
      <c r="X590" s="30"/>
      <c r="Y590" s="30"/>
      <c r="Z590" s="30"/>
      <c r="AA590" s="30"/>
      <c r="AB590" s="30"/>
      <c r="AC590" s="30"/>
    </row>
    <row r="591" ht="39.75" customHeight="1">
      <c r="A591" s="30"/>
      <c r="B591" s="31"/>
      <c r="C591" s="30"/>
      <c r="D591" s="30"/>
      <c r="E591" s="30"/>
      <c r="F591" s="30"/>
      <c r="G591" s="30"/>
      <c r="H591" s="30"/>
      <c r="I591" s="32"/>
      <c r="J591" s="30"/>
      <c r="K591" s="30"/>
      <c r="L591" s="30"/>
      <c r="M591" s="30"/>
      <c r="N591" s="30"/>
      <c r="O591" s="30"/>
      <c r="P591" s="30"/>
      <c r="Q591" s="30"/>
      <c r="R591" s="30"/>
      <c r="S591" s="30"/>
      <c r="T591" s="30"/>
      <c r="U591" s="30"/>
      <c r="V591" s="30"/>
      <c r="W591" s="30"/>
      <c r="X591" s="30"/>
      <c r="Y591" s="30"/>
      <c r="Z591" s="30"/>
      <c r="AA591" s="30"/>
      <c r="AB591" s="30"/>
      <c r="AC591" s="30"/>
    </row>
    <row r="592" ht="39.75" customHeight="1">
      <c r="A592" s="30"/>
      <c r="B592" s="31"/>
      <c r="C592" s="30"/>
      <c r="D592" s="30"/>
      <c r="E592" s="30"/>
      <c r="F592" s="30"/>
      <c r="G592" s="30"/>
      <c r="H592" s="30"/>
      <c r="I592" s="32"/>
      <c r="J592" s="30"/>
      <c r="K592" s="30"/>
      <c r="L592" s="30"/>
      <c r="M592" s="30"/>
      <c r="N592" s="30"/>
      <c r="O592" s="30"/>
      <c r="P592" s="30"/>
      <c r="Q592" s="30"/>
      <c r="R592" s="30"/>
      <c r="S592" s="30"/>
      <c r="T592" s="30"/>
      <c r="U592" s="30"/>
      <c r="V592" s="30"/>
      <c r="W592" s="30"/>
      <c r="X592" s="30"/>
      <c r="Y592" s="30"/>
      <c r="Z592" s="30"/>
      <c r="AA592" s="30"/>
      <c r="AB592" s="30"/>
      <c r="AC592" s="30"/>
    </row>
    <row r="593" ht="39.75" customHeight="1">
      <c r="A593" s="30"/>
      <c r="B593" s="31"/>
      <c r="C593" s="30"/>
      <c r="D593" s="30"/>
      <c r="E593" s="30"/>
      <c r="F593" s="30"/>
      <c r="G593" s="30"/>
      <c r="H593" s="30"/>
      <c r="I593" s="32"/>
      <c r="J593" s="30"/>
      <c r="K593" s="30"/>
      <c r="L593" s="30"/>
      <c r="M593" s="30"/>
      <c r="N593" s="30"/>
      <c r="O593" s="30"/>
      <c r="P593" s="30"/>
      <c r="Q593" s="30"/>
      <c r="R593" s="30"/>
      <c r="S593" s="30"/>
      <c r="T593" s="30"/>
      <c r="U593" s="30"/>
      <c r="V593" s="30"/>
      <c r="W593" s="30"/>
      <c r="X593" s="30"/>
      <c r="Y593" s="30"/>
      <c r="Z593" s="30"/>
      <c r="AA593" s="30"/>
      <c r="AB593" s="30"/>
      <c r="AC593" s="30"/>
    </row>
    <row r="594" ht="39.75" customHeight="1">
      <c r="A594" s="30"/>
      <c r="B594" s="31"/>
      <c r="C594" s="30"/>
      <c r="D594" s="30"/>
      <c r="E594" s="30"/>
      <c r="F594" s="30"/>
      <c r="G594" s="30"/>
      <c r="H594" s="30"/>
      <c r="I594" s="32"/>
      <c r="J594" s="30"/>
      <c r="K594" s="30"/>
      <c r="L594" s="30"/>
      <c r="M594" s="30"/>
      <c r="N594" s="30"/>
      <c r="O594" s="30"/>
      <c r="P594" s="30"/>
      <c r="Q594" s="30"/>
      <c r="R594" s="30"/>
      <c r="S594" s="30"/>
      <c r="T594" s="30"/>
      <c r="U594" s="30"/>
      <c r="V594" s="30"/>
      <c r="W594" s="30"/>
      <c r="X594" s="30"/>
      <c r="Y594" s="30"/>
      <c r="Z594" s="30"/>
      <c r="AA594" s="30"/>
      <c r="AB594" s="30"/>
      <c r="AC594" s="30"/>
    </row>
    <row r="595" ht="39.75" customHeight="1">
      <c r="A595" s="30"/>
      <c r="B595" s="31"/>
      <c r="C595" s="30"/>
      <c r="D595" s="30"/>
      <c r="E595" s="30"/>
      <c r="F595" s="30"/>
      <c r="G595" s="30"/>
      <c r="H595" s="30"/>
      <c r="I595" s="32"/>
      <c r="J595" s="30"/>
      <c r="K595" s="30"/>
      <c r="L595" s="30"/>
      <c r="M595" s="30"/>
      <c r="N595" s="30"/>
      <c r="O595" s="30"/>
      <c r="P595" s="30"/>
      <c r="Q595" s="30"/>
      <c r="R595" s="30"/>
      <c r="S595" s="30"/>
      <c r="T595" s="30"/>
      <c r="U595" s="30"/>
      <c r="V595" s="30"/>
      <c r="W595" s="30"/>
      <c r="X595" s="30"/>
      <c r="Y595" s="30"/>
      <c r="Z595" s="30"/>
      <c r="AA595" s="30"/>
      <c r="AB595" s="30"/>
      <c r="AC595" s="30"/>
    </row>
    <row r="596" ht="39.75" customHeight="1">
      <c r="A596" s="30"/>
      <c r="B596" s="31"/>
      <c r="C596" s="30"/>
      <c r="D596" s="30"/>
      <c r="E596" s="30"/>
      <c r="F596" s="30"/>
      <c r="G596" s="30"/>
      <c r="H596" s="30"/>
      <c r="I596" s="32"/>
      <c r="J596" s="30"/>
      <c r="K596" s="30"/>
      <c r="L596" s="30"/>
      <c r="M596" s="30"/>
      <c r="N596" s="30"/>
      <c r="O596" s="30"/>
      <c r="P596" s="30"/>
      <c r="Q596" s="30"/>
      <c r="R596" s="30"/>
      <c r="S596" s="30"/>
      <c r="T596" s="30"/>
      <c r="U596" s="30"/>
      <c r="V596" s="30"/>
      <c r="W596" s="30"/>
      <c r="X596" s="30"/>
      <c r="Y596" s="30"/>
      <c r="Z596" s="30"/>
      <c r="AA596" s="30"/>
      <c r="AB596" s="30"/>
      <c r="AC596" s="30"/>
    </row>
    <row r="597" ht="39.75" customHeight="1">
      <c r="A597" s="30"/>
      <c r="B597" s="31"/>
      <c r="C597" s="30"/>
      <c r="D597" s="30"/>
      <c r="E597" s="30"/>
      <c r="F597" s="30"/>
      <c r="G597" s="30"/>
      <c r="H597" s="30"/>
      <c r="I597" s="32"/>
      <c r="J597" s="30"/>
      <c r="K597" s="30"/>
      <c r="L597" s="30"/>
      <c r="M597" s="30"/>
      <c r="N597" s="30"/>
      <c r="O597" s="30"/>
      <c r="P597" s="30"/>
      <c r="Q597" s="30"/>
      <c r="R597" s="30"/>
      <c r="S597" s="30"/>
      <c r="T597" s="30"/>
      <c r="U597" s="30"/>
      <c r="V597" s="30"/>
      <c r="W597" s="30"/>
      <c r="X597" s="30"/>
      <c r="Y597" s="30"/>
      <c r="Z597" s="30"/>
      <c r="AA597" s="30"/>
      <c r="AB597" s="30"/>
      <c r="AC597" s="30"/>
    </row>
    <row r="598" ht="39.75" customHeight="1">
      <c r="A598" s="30"/>
      <c r="B598" s="31"/>
      <c r="C598" s="30"/>
      <c r="D598" s="30"/>
      <c r="E598" s="30"/>
      <c r="F598" s="30"/>
      <c r="G598" s="30"/>
      <c r="H598" s="30"/>
      <c r="I598" s="32"/>
      <c r="J598" s="30"/>
      <c r="K598" s="30"/>
      <c r="L598" s="30"/>
      <c r="M598" s="30"/>
      <c r="N598" s="30"/>
      <c r="O598" s="30"/>
      <c r="P598" s="30"/>
      <c r="Q598" s="30"/>
      <c r="R598" s="30"/>
      <c r="S598" s="30"/>
      <c r="T598" s="30"/>
      <c r="U598" s="30"/>
      <c r="V598" s="30"/>
      <c r="W598" s="30"/>
      <c r="X598" s="30"/>
      <c r="Y598" s="30"/>
      <c r="Z598" s="30"/>
      <c r="AA598" s="30"/>
      <c r="AB598" s="30"/>
      <c r="AC598" s="30"/>
    </row>
    <row r="599" ht="39.75" customHeight="1">
      <c r="A599" s="30"/>
      <c r="B599" s="31"/>
      <c r="C599" s="30"/>
      <c r="D599" s="30"/>
      <c r="E599" s="30"/>
      <c r="F599" s="30"/>
      <c r="G599" s="30"/>
      <c r="H599" s="30"/>
      <c r="I599" s="32"/>
      <c r="J599" s="30"/>
      <c r="K599" s="30"/>
      <c r="L599" s="30"/>
      <c r="M599" s="30"/>
      <c r="N599" s="30"/>
      <c r="O599" s="30"/>
      <c r="P599" s="30"/>
      <c r="Q599" s="30"/>
      <c r="R599" s="30"/>
      <c r="S599" s="30"/>
      <c r="T599" s="30"/>
      <c r="U599" s="30"/>
      <c r="V599" s="30"/>
      <c r="W599" s="30"/>
      <c r="X599" s="30"/>
      <c r="Y599" s="30"/>
      <c r="Z599" s="30"/>
      <c r="AA599" s="30"/>
      <c r="AB599" s="30"/>
      <c r="AC599" s="30"/>
    </row>
    <row r="600" ht="39.75" customHeight="1">
      <c r="A600" s="30"/>
      <c r="B600" s="31"/>
      <c r="C600" s="30"/>
      <c r="D600" s="30"/>
      <c r="E600" s="30"/>
      <c r="F600" s="30"/>
      <c r="G600" s="30"/>
      <c r="H600" s="30"/>
      <c r="I600" s="32"/>
      <c r="J600" s="30"/>
      <c r="K600" s="30"/>
      <c r="L600" s="30"/>
      <c r="M600" s="30"/>
      <c r="N600" s="30"/>
      <c r="O600" s="30"/>
      <c r="P600" s="30"/>
      <c r="Q600" s="30"/>
      <c r="R600" s="30"/>
      <c r="S600" s="30"/>
      <c r="T600" s="30"/>
      <c r="U600" s="30"/>
      <c r="V600" s="30"/>
      <c r="W600" s="30"/>
      <c r="X600" s="30"/>
      <c r="Y600" s="30"/>
      <c r="Z600" s="30"/>
      <c r="AA600" s="30"/>
      <c r="AB600" s="30"/>
      <c r="AC600" s="30"/>
    </row>
    <row r="601" ht="39.75" customHeight="1">
      <c r="A601" s="30"/>
      <c r="B601" s="31"/>
      <c r="C601" s="30"/>
      <c r="D601" s="30"/>
      <c r="E601" s="30"/>
      <c r="F601" s="30"/>
      <c r="G601" s="30"/>
      <c r="H601" s="30"/>
      <c r="I601" s="32"/>
      <c r="J601" s="30"/>
      <c r="K601" s="30"/>
      <c r="L601" s="30"/>
      <c r="M601" s="30"/>
      <c r="N601" s="30"/>
      <c r="O601" s="30"/>
      <c r="P601" s="30"/>
      <c r="Q601" s="30"/>
      <c r="R601" s="30"/>
      <c r="S601" s="30"/>
      <c r="T601" s="30"/>
      <c r="U601" s="30"/>
      <c r="V601" s="30"/>
      <c r="W601" s="30"/>
      <c r="X601" s="30"/>
      <c r="Y601" s="30"/>
      <c r="Z601" s="30"/>
      <c r="AA601" s="30"/>
      <c r="AB601" s="30"/>
      <c r="AC601" s="30"/>
    </row>
    <row r="602" ht="39.75" customHeight="1">
      <c r="A602" s="30"/>
      <c r="B602" s="31"/>
      <c r="C602" s="30"/>
      <c r="D602" s="30"/>
      <c r="E602" s="30"/>
      <c r="F602" s="30"/>
      <c r="G602" s="30"/>
      <c r="H602" s="30"/>
      <c r="I602" s="32"/>
      <c r="J602" s="30"/>
      <c r="K602" s="30"/>
      <c r="L602" s="30"/>
      <c r="M602" s="30"/>
      <c r="N602" s="30"/>
      <c r="O602" s="30"/>
      <c r="P602" s="30"/>
      <c r="Q602" s="30"/>
      <c r="R602" s="30"/>
      <c r="S602" s="30"/>
      <c r="T602" s="30"/>
      <c r="U602" s="30"/>
      <c r="V602" s="30"/>
      <c r="W602" s="30"/>
      <c r="X602" s="30"/>
      <c r="Y602" s="30"/>
      <c r="Z602" s="30"/>
      <c r="AA602" s="30"/>
      <c r="AB602" s="30"/>
      <c r="AC602" s="30"/>
    </row>
    <row r="603" ht="39.75" customHeight="1">
      <c r="A603" s="30"/>
      <c r="B603" s="31"/>
      <c r="C603" s="30"/>
      <c r="D603" s="30"/>
      <c r="E603" s="30"/>
      <c r="F603" s="30"/>
      <c r="G603" s="30"/>
      <c r="H603" s="30"/>
      <c r="I603" s="32"/>
      <c r="J603" s="30"/>
      <c r="K603" s="30"/>
      <c r="L603" s="30"/>
      <c r="M603" s="30"/>
      <c r="N603" s="30"/>
      <c r="O603" s="30"/>
      <c r="P603" s="30"/>
      <c r="Q603" s="30"/>
      <c r="R603" s="30"/>
      <c r="S603" s="30"/>
      <c r="T603" s="30"/>
      <c r="U603" s="30"/>
      <c r="V603" s="30"/>
      <c r="W603" s="30"/>
      <c r="X603" s="30"/>
      <c r="Y603" s="30"/>
      <c r="Z603" s="30"/>
      <c r="AA603" s="30"/>
      <c r="AB603" s="30"/>
      <c r="AC603" s="30"/>
    </row>
    <row r="604" ht="39.75" customHeight="1">
      <c r="A604" s="30"/>
      <c r="B604" s="31"/>
      <c r="C604" s="30"/>
      <c r="D604" s="30"/>
      <c r="E604" s="30"/>
      <c r="F604" s="30"/>
      <c r="G604" s="30"/>
      <c r="H604" s="30"/>
      <c r="I604" s="32"/>
      <c r="J604" s="30"/>
      <c r="K604" s="30"/>
      <c r="L604" s="30"/>
      <c r="M604" s="30"/>
      <c r="N604" s="30"/>
      <c r="O604" s="30"/>
      <c r="P604" s="30"/>
      <c r="Q604" s="30"/>
      <c r="R604" s="30"/>
      <c r="S604" s="30"/>
      <c r="T604" s="30"/>
      <c r="U604" s="30"/>
      <c r="V604" s="30"/>
      <c r="W604" s="30"/>
      <c r="X604" s="30"/>
      <c r="Y604" s="30"/>
      <c r="Z604" s="30"/>
      <c r="AA604" s="30"/>
      <c r="AB604" s="30"/>
      <c r="AC604" s="30"/>
    </row>
    <row r="605" ht="39.75" customHeight="1">
      <c r="A605" s="30"/>
      <c r="B605" s="31"/>
      <c r="C605" s="30"/>
      <c r="D605" s="30"/>
      <c r="E605" s="30"/>
      <c r="F605" s="30"/>
      <c r="G605" s="30"/>
      <c r="H605" s="30"/>
      <c r="I605" s="32"/>
      <c r="J605" s="30"/>
      <c r="K605" s="30"/>
      <c r="L605" s="30"/>
      <c r="M605" s="30"/>
      <c r="N605" s="30"/>
      <c r="O605" s="30"/>
      <c r="P605" s="30"/>
      <c r="Q605" s="30"/>
      <c r="R605" s="30"/>
      <c r="S605" s="30"/>
      <c r="T605" s="30"/>
      <c r="U605" s="30"/>
      <c r="V605" s="30"/>
      <c r="W605" s="30"/>
      <c r="X605" s="30"/>
      <c r="Y605" s="30"/>
      <c r="Z605" s="30"/>
      <c r="AA605" s="30"/>
      <c r="AB605" s="30"/>
      <c r="AC605" s="30"/>
    </row>
    <row r="606" ht="39.75" customHeight="1">
      <c r="A606" s="30"/>
      <c r="B606" s="31"/>
      <c r="C606" s="30"/>
      <c r="D606" s="30"/>
      <c r="E606" s="30"/>
      <c r="F606" s="30"/>
      <c r="G606" s="30"/>
      <c r="H606" s="30"/>
      <c r="I606" s="32"/>
      <c r="J606" s="30"/>
      <c r="K606" s="30"/>
      <c r="L606" s="30"/>
      <c r="M606" s="30"/>
      <c r="N606" s="30"/>
      <c r="O606" s="30"/>
      <c r="P606" s="30"/>
      <c r="Q606" s="30"/>
      <c r="R606" s="30"/>
      <c r="S606" s="30"/>
      <c r="T606" s="30"/>
      <c r="U606" s="30"/>
      <c r="V606" s="30"/>
      <c r="W606" s="30"/>
      <c r="X606" s="30"/>
      <c r="Y606" s="30"/>
      <c r="Z606" s="30"/>
      <c r="AA606" s="30"/>
      <c r="AB606" s="30"/>
      <c r="AC606" s="30"/>
    </row>
    <row r="607" ht="39.75" customHeight="1">
      <c r="A607" s="30"/>
      <c r="B607" s="31"/>
      <c r="C607" s="30"/>
      <c r="D607" s="30"/>
      <c r="E607" s="30"/>
      <c r="F607" s="30"/>
      <c r="G607" s="30"/>
      <c r="H607" s="30"/>
      <c r="I607" s="32"/>
      <c r="J607" s="30"/>
      <c r="K607" s="30"/>
      <c r="L607" s="30"/>
      <c r="M607" s="30"/>
      <c r="N607" s="30"/>
      <c r="O607" s="30"/>
      <c r="P607" s="30"/>
      <c r="Q607" s="30"/>
      <c r="R607" s="30"/>
      <c r="S607" s="30"/>
      <c r="T607" s="30"/>
      <c r="U607" s="30"/>
      <c r="V607" s="30"/>
      <c r="W607" s="30"/>
      <c r="X607" s="30"/>
      <c r="Y607" s="30"/>
      <c r="Z607" s="30"/>
      <c r="AA607" s="30"/>
      <c r="AB607" s="30"/>
      <c r="AC607" s="30"/>
    </row>
    <row r="608" ht="39.75" customHeight="1">
      <c r="A608" s="30"/>
      <c r="B608" s="31"/>
      <c r="C608" s="30"/>
      <c r="D608" s="30"/>
      <c r="E608" s="30"/>
      <c r="F608" s="30"/>
      <c r="G608" s="30"/>
      <c r="H608" s="30"/>
      <c r="I608" s="32"/>
      <c r="J608" s="30"/>
      <c r="K608" s="30"/>
      <c r="L608" s="30"/>
      <c r="M608" s="30"/>
      <c r="N608" s="30"/>
      <c r="O608" s="30"/>
      <c r="P608" s="30"/>
      <c r="Q608" s="30"/>
      <c r="R608" s="30"/>
      <c r="S608" s="30"/>
      <c r="T608" s="30"/>
      <c r="U608" s="30"/>
      <c r="V608" s="30"/>
      <c r="W608" s="30"/>
      <c r="X608" s="30"/>
      <c r="Y608" s="30"/>
      <c r="Z608" s="30"/>
      <c r="AA608" s="30"/>
      <c r="AB608" s="30"/>
      <c r="AC608" s="30"/>
    </row>
    <row r="609" ht="39.75" customHeight="1">
      <c r="A609" s="30"/>
      <c r="B609" s="31"/>
      <c r="C609" s="30"/>
      <c r="D609" s="30"/>
      <c r="E609" s="30"/>
      <c r="F609" s="30"/>
      <c r="G609" s="30"/>
      <c r="H609" s="30"/>
      <c r="I609" s="32"/>
      <c r="J609" s="30"/>
      <c r="K609" s="30"/>
      <c r="L609" s="30"/>
      <c r="M609" s="30"/>
      <c r="N609" s="30"/>
      <c r="O609" s="30"/>
      <c r="P609" s="30"/>
      <c r="Q609" s="30"/>
      <c r="R609" s="30"/>
      <c r="S609" s="30"/>
      <c r="T609" s="30"/>
      <c r="U609" s="30"/>
      <c r="V609" s="30"/>
      <c r="W609" s="30"/>
      <c r="X609" s="30"/>
      <c r="Y609" s="30"/>
      <c r="Z609" s="30"/>
      <c r="AA609" s="30"/>
      <c r="AB609" s="30"/>
      <c r="AC609" s="30"/>
    </row>
    <row r="610" ht="39.75" customHeight="1">
      <c r="A610" s="30"/>
      <c r="B610" s="31"/>
      <c r="C610" s="30"/>
      <c r="D610" s="30"/>
      <c r="E610" s="30"/>
      <c r="F610" s="30"/>
      <c r="G610" s="30"/>
      <c r="H610" s="30"/>
      <c r="I610" s="32"/>
      <c r="J610" s="30"/>
      <c r="K610" s="30"/>
      <c r="L610" s="30"/>
      <c r="M610" s="30"/>
      <c r="N610" s="30"/>
      <c r="O610" s="30"/>
      <c r="P610" s="30"/>
      <c r="Q610" s="30"/>
      <c r="R610" s="30"/>
      <c r="S610" s="30"/>
      <c r="T610" s="30"/>
      <c r="U610" s="30"/>
      <c r="V610" s="30"/>
      <c r="W610" s="30"/>
      <c r="X610" s="30"/>
      <c r="Y610" s="30"/>
      <c r="Z610" s="30"/>
      <c r="AA610" s="30"/>
      <c r="AB610" s="30"/>
      <c r="AC610" s="30"/>
    </row>
    <row r="611" ht="39.75" customHeight="1">
      <c r="A611" s="30"/>
      <c r="B611" s="31"/>
      <c r="C611" s="30"/>
      <c r="D611" s="30"/>
      <c r="E611" s="30"/>
      <c r="F611" s="30"/>
      <c r="G611" s="30"/>
      <c r="H611" s="30"/>
      <c r="I611" s="32"/>
      <c r="J611" s="30"/>
      <c r="K611" s="30"/>
      <c r="L611" s="30"/>
      <c r="M611" s="30"/>
      <c r="N611" s="30"/>
      <c r="O611" s="30"/>
      <c r="P611" s="30"/>
      <c r="Q611" s="30"/>
      <c r="R611" s="30"/>
      <c r="S611" s="30"/>
      <c r="T611" s="30"/>
      <c r="U611" s="30"/>
      <c r="V611" s="30"/>
      <c r="W611" s="30"/>
      <c r="X611" s="30"/>
      <c r="Y611" s="30"/>
      <c r="Z611" s="30"/>
      <c r="AA611" s="30"/>
      <c r="AB611" s="30"/>
      <c r="AC611" s="30"/>
    </row>
    <row r="612" ht="39.75" customHeight="1">
      <c r="A612" s="30"/>
      <c r="B612" s="31"/>
      <c r="C612" s="30"/>
      <c r="D612" s="30"/>
      <c r="E612" s="30"/>
      <c r="F612" s="30"/>
      <c r="G612" s="30"/>
      <c r="H612" s="30"/>
      <c r="I612" s="32"/>
      <c r="J612" s="30"/>
      <c r="K612" s="30"/>
      <c r="L612" s="30"/>
      <c r="M612" s="30"/>
      <c r="N612" s="30"/>
      <c r="O612" s="30"/>
      <c r="P612" s="30"/>
      <c r="Q612" s="30"/>
      <c r="R612" s="30"/>
      <c r="S612" s="30"/>
      <c r="T612" s="30"/>
      <c r="U612" s="30"/>
      <c r="V612" s="30"/>
      <c r="W612" s="30"/>
      <c r="X612" s="30"/>
      <c r="Y612" s="30"/>
      <c r="Z612" s="30"/>
      <c r="AA612" s="30"/>
      <c r="AB612" s="30"/>
      <c r="AC612" s="30"/>
    </row>
    <row r="613" ht="39.75" customHeight="1">
      <c r="A613" s="30"/>
      <c r="B613" s="31"/>
      <c r="C613" s="30"/>
      <c r="D613" s="30"/>
      <c r="E613" s="30"/>
      <c r="F613" s="30"/>
      <c r="G613" s="30"/>
      <c r="H613" s="30"/>
      <c r="I613" s="32"/>
      <c r="J613" s="30"/>
      <c r="K613" s="30"/>
      <c r="L613" s="30"/>
      <c r="M613" s="30"/>
      <c r="N613" s="30"/>
      <c r="O613" s="30"/>
      <c r="P613" s="30"/>
      <c r="Q613" s="30"/>
      <c r="R613" s="30"/>
      <c r="S613" s="30"/>
      <c r="T613" s="30"/>
      <c r="U613" s="30"/>
      <c r="V613" s="30"/>
      <c r="W613" s="30"/>
      <c r="X613" s="30"/>
      <c r="Y613" s="30"/>
      <c r="Z613" s="30"/>
      <c r="AA613" s="30"/>
      <c r="AB613" s="30"/>
      <c r="AC613" s="30"/>
    </row>
    <row r="614" ht="39.75" customHeight="1">
      <c r="A614" s="30"/>
      <c r="B614" s="31"/>
      <c r="C614" s="30"/>
      <c r="D614" s="30"/>
      <c r="E614" s="30"/>
      <c r="F614" s="30"/>
      <c r="G614" s="30"/>
      <c r="H614" s="30"/>
      <c r="I614" s="32"/>
      <c r="J614" s="30"/>
      <c r="K614" s="30"/>
      <c r="L614" s="30"/>
      <c r="M614" s="30"/>
      <c r="N614" s="30"/>
      <c r="O614" s="30"/>
      <c r="P614" s="30"/>
      <c r="Q614" s="30"/>
      <c r="R614" s="30"/>
      <c r="S614" s="30"/>
      <c r="T614" s="30"/>
      <c r="U614" s="30"/>
      <c r="V614" s="30"/>
      <c r="W614" s="30"/>
      <c r="X614" s="30"/>
      <c r="Y614" s="30"/>
      <c r="Z614" s="30"/>
      <c r="AA614" s="30"/>
      <c r="AB614" s="30"/>
      <c r="AC614" s="30"/>
    </row>
    <row r="615" ht="39.75" customHeight="1">
      <c r="A615" s="30"/>
      <c r="B615" s="31"/>
      <c r="C615" s="30"/>
      <c r="D615" s="30"/>
      <c r="E615" s="30"/>
      <c r="F615" s="30"/>
      <c r="G615" s="30"/>
      <c r="H615" s="30"/>
      <c r="I615" s="32"/>
      <c r="J615" s="30"/>
      <c r="K615" s="30"/>
      <c r="L615" s="30"/>
      <c r="M615" s="30"/>
      <c r="N615" s="30"/>
      <c r="O615" s="30"/>
      <c r="P615" s="30"/>
      <c r="Q615" s="30"/>
      <c r="R615" s="30"/>
      <c r="S615" s="30"/>
      <c r="T615" s="30"/>
      <c r="U615" s="30"/>
      <c r="V615" s="30"/>
      <c r="W615" s="30"/>
      <c r="X615" s="30"/>
      <c r="Y615" s="30"/>
      <c r="Z615" s="30"/>
      <c r="AA615" s="30"/>
      <c r="AB615" s="30"/>
      <c r="AC615" s="30"/>
    </row>
    <row r="616" ht="39.75" customHeight="1">
      <c r="A616" s="30"/>
      <c r="B616" s="31"/>
      <c r="C616" s="30"/>
      <c r="D616" s="30"/>
      <c r="E616" s="30"/>
      <c r="F616" s="30"/>
      <c r="G616" s="30"/>
      <c r="H616" s="30"/>
      <c r="I616" s="32"/>
      <c r="J616" s="30"/>
      <c r="K616" s="30"/>
      <c r="L616" s="30"/>
      <c r="M616" s="30"/>
      <c r="N616" s="30"/>
      <c r="O616" s="30"/>
      <c r="P616" s="30"/>
      <c r="Q616" s="30"/>
      <c r="R616" s="30"/>
      <c r="S616" s="30"/>
      <c r="T616" s="30"/>
      <c r="U616" s="30"/>
      <c r="V616" s="30"/>
      <c r="W616" s="30"/>
      <c r="X616" s="30"/>
      <c r="Y616" s="30"/>
      <c r="Z616" s="30"/>
      <c r="AA616" s="30"/>
      <c r="AB616" s="30"/>
      <c r="AC616" s="30"/>
    </row>
    <row r="617" ht="39.75" customHeight="1">
      <c r="A617" s="30"/>
      <c r="B617" s="31"/>
      <c r="C617" s="30"/>
      <c r="D617" s="30"/>
      <c r="E617" s="30"/>
      <c r="F617" s="30"/>
      <c r="G617" s="30"/>
      <c r="H617" s="30"/>
      <c r="I617" s="32"/>
      <c r="J617" s="30"/>
      <c r="K617" s="30"/>
      <c r="L617" s="30"/>
      <c r="M617" s="30"/>
      <c r="N617" s="30"/>
      <c r="O617" s="30"/>
      <c r="P617" s="30"/>
      <c r="Q617" s="30"/>
      <c r="R617" s="30"/>
      <c r="S617" s="30"/>
      <c r="T617" s="30"/>
      <c r="U617" s="30"/>
      <c r="V617" s="30"/>
      <c r="W617" s="30"/>
      <c r="X617" s="30"/>
      <c r="Y617" s="30"/>
      <c r="Z617" s="30"/>
      <c r="AA617" s="30"/>
      <c r="AB617" s="30"/>
      <c r="AC617" s="30"/>
    </row>
    <row r="618" ht="39.75" customHeight="1">
      <c r="A618" s="30"/>
      <c r="B618" s="31"/>
      <c r="C618" s="30"/>
      <c r="D618" s="30"/>
      <c r="E618" s="30"/>
      <c r="F618" s="30"/>
      <c r="G618" s="30"/>
      <c r="H618" s="30"/>
      <c r="I618" s="32"/>
      <c r="J618" s="30"/>
      <c r="K618" s="30"/>
      <c r="L618" s="30"/>
      <c r="M618" s="30"/>
      <c r="N618" s="30"/>
      <c r="O618" s="30"/>
      <c r="P618" s="30"/>
      <c r="Q618" s="30"/>
      <c r="R618" s="30"/>
      <c r="S618" s="30"/>
      <c r="T618" s="30"/>
      <c r="U618" s="30"/>
      <c r="V618" s="30"/>
      <c r="W618" s="30"/>
      <c r="X618" s="30"/>
      <c r="Y618" s="30"/>
      <c r="Z618" s="30"/>
      <c r="AA618" s="30"/>
      <c r="AB618" s="30"/>
      <c r="AC618" s="30"/>
    </row>
    <row r="619" ht="39.75" customHeight="1">
      <c r="A619" s="30"/>
      <c r="B619" s="31"/>
      <c r="C619" s="30"/>
      <c r="D619" s="30"/>
      <c r="E619" s="30"/>
      <c r="F619" s="30"/>
      <c r="G619" s="30"/>
      <c r="H619" s="30"/>
      <c r="I619" s="32"/>
      <c r="J619" s="30"/>
      <c r="K619" s="30"/>
      <c r="L619" s="30"/>
      <c r="M619" s="30"/>
      <c r="N619" s="30"/>
      <c r="O619" s="30"/>
      <c r="P619" s="30"/>
      <c r="Q619" s="30"/>
      <c r="R619" s="30"/>
      <c r="S619" s="30"/>
      <c r="T619" s="30"/>
      <c r="U619" s="30"/>
      <c r="V619" s="30"/>
      <c r="W619" s="30"/>
      <c r="X619" s="30"/>
      <c r="Y619" s="30"/>
      <c r="Z619" s="30"/>
      <c r="AA619" s="30"/>
      <c r="AB619" s="30"/>
      <c r="AC619" s="30"/>
    </row>
    <row r="620" ht="39.75" customHeight="1">
      <c r="A620" s="30"/>
      <c r="B620" s="31"/>
      <c r="C620" s="30"/>
      <c r="D620" s="30"/>
      <c r="E620" s="30"/>
      <c r="F620" s="30"/>
      <c r="G620" s="30"/>
      <c r="H620" s="30"/>
      <c r="I620" s="32"/>
      <c r="J620" s="30"/>
      <c r="K620" s="30"/>
      <c r="L620" s="30"/>
      <c r="M620" s="30"/>
      <c r="N620" s="30"/>
      <c r="O620" s="30"/>
      <c r="P620" s="30"/>
      <c r="Q620" s="30"/>
      <c r="R620" s="30"/>
      <c r="S620" s="30"/>
      <c r="T620" s="30"/>
      <c r="U620" s="30"/>
      <c r="V620" s="30"/>
      <c r="W620" s="30"/>
      <c r="X620" s="30"/>
      <c r="Y620" s="30"/>
      <c r="Z620" s="30"/>
      <c r="AA620" s="30"/>
      <c r="AB620" s="30"/>
      <c r="AC620" s="30"/>
    </row>
    <row r="621" ht="39.75" customHeight="1">
      <c r="A621" s="30"/>
      <c r="B621" s="31"/>
      <c r="C621" s="30"/>
      <c r="D621" s="30"/>
      <c r="E621" s="30"/>
      <c r="F621" s="30"/>
      <c r="G621" s="30"/>
      <c r="H621" s="30"/>
      <c r="I621" s="32"/>
      <c r="J621" s="30"/>
      <c r="K621" s="30"/>
      <c r="L621" s="30"/>
      <c r="M621" s="30"/>
      <c r="N621" s="30"/>
      <c r="O621" s="30"/>
      <c r="P621" s="30"/>
      <c r="Q621" s="30"/>
      <c r="R621" s="30"/>
      <c r="S621" s="30"/>
      <c r="T621" s="30"/>
      <c r="U621" s="30"/>
      <c r="V621" s="30"/>
      <c r="W621" s="30"/>
      <c r="X621" s="30"/>
      <c r="Y621" s="30"/>
      <c r="Z621" s="30"/>
      <c r="AA621" s="30"/>
      <c r="AB621" s="30"/>
      <c r="AC621" s="30"/>
    </row>
    <row r="622" ht="39.75" customHeight="1">
      <c r="A622" s="30"/>
      <c r="B622" s="31"/>
      <c r="C622" s="30"/>
      <c r="D622" s="30"/>
      <c r="E622" s="30"/>
      <c r="F622" s="30"/>
      <c r="G622" s="30"/>
      <c r="H622" s="30"/>
      <c r="I622" s="32"/>
      <c r="J622" s="30"/>
      <c r="K622" s="30"/>
      <c r="L622" s="30"/>
      <c r="M622" s="30"/>
      <c r="N622" s="30"/>
      <c r="O622" s="30"/>
      <c r="P622" s="30"/>
      <c r="Q622" s="30"/>
      <c r="R622" s="30"/>
      <c r="S622" s="30"/>
      <c r="T622" s="30"/>
      <c r="U622" s="30"/>
      <c r="V622" s="30"/>
      <c r="W622" s="30"/>
      <c r="X622" s="30"/>
      <c r="Y622" s="30"/>
      <c r="Z622" s="30"/>
      <c r="AA622" s="30"/>
      <c r="AB622" s="30"/>
      <c r="AC622" s="30"/>
    </row>
    <row r="623" ht="39.75" customHeight="1">
      <c r="A623" s="30"/>
      <c r="B623" s="31"/>
      <c r="C623" s="30"/>
      <c r="D623" s="30"/>
      <c r="E623" s="30"/>
      <c r="F623" s="30"/>
      <c r="G623" s="30"/>
      <c r="H623" s="30"/>
      <c r="I623" s="32"/>
      <c r="J623" s="30"/>
      <c r="K623" s="30"/>
      <c r="L623" s="30"/>
      <c r="M623" s="30"/>
      <c r="N623" s="30"/>
      <c r="O623" s="30"/>
      <c r="P623" s="30"/>
      <c r="Q623" s="30"/>
      <c r="R623" s="30"/>
      <c r="S623" s="30"/>
      <c r="T623" s="30"/>
      <c r="U623" s="30"/>
      <c r="V623" s="30"/>
      <c r="W623" s="30"/>
      <c r="X623" s="30"/>
      <c r="Y623" s="30"/>
      <c r="Z623" s="30"/>
      <c r="AA623" s="30"/>
      <c r="AB623" s="30"/>
      <c r="AC623" s="30"/>
    </row>
    <row r="624" ht="39.75" customHeight="1">
      <c r="A624" s="30"/>
      <c r="B624" s="31"/>
      <c r="C624" s="30"/>
      <c r="D624" s="30"/>
      <c r="E624" s="30"/>
      <c r="F624" s="30"/>
      <c r="G624" s="30"/>
      <c r="H624" s="30"/>
      <c r="I624" s="32"/>
      <c r="J624" s="30"/>
      <c r="K624" s="30"/>
      <c r="L624" s="30"/>
      <c r="M624" s="30"/>
      <c r="N624" s="30"/>
      <c r="O624" s="30"/>
      <c r="P624" s="30"/>
      <c r="Q624" s="30"/>
      <c r="R624" s="30"/>
      <c r="S624" s="30"/>
      <c r="T624" s="30"/>
      <c r="U624" s="30"/>
      <c r="V624" s="30"/>
      <c r="W624" s="30"/>
      <c r="X624" s="30"/>
      <c r="Y624" s="30"/>
      <c r="Z624" s="30"/>
      <c r="AA624" s="30"/>
      <c r="AB624" s="30"/>
      <c r="AC624" s="30"/>
    </row>
    <row r="625" ht="39.75" customHeight="1">
      <c r="A625" s="30"/>
      <c r="B625" s="31"/>
      <c r="C625" s="30"/>
      <c r="D625" s="30"/>
      <c r="E625" s="30"/>
      <c r="F625" s="30"/>
      <c r="G625" s="30"/>
      <c r="H625" s="30"/>
      <c r="I625" s="32"/>
      <c r="J625" s="30"/>
      <c r="K625" s="30"/>
      <c r="L625" s="30"/>
      <c r="M625" s="30"/>
      <c r="N625" s="30"/>
      <c r="O625" s="30"/>
      <c r="P625" s="30"/>
      <c r="Q625" s="30"/>
      <c r="R625" s="30"/>
      <c r="S625" s="30"/>
      <c r="T625" s="30"/>
      <c r="U625" s="30"/>
      <c r="V625" s="30"/>
      <c r="W625" s="30"/>
      <c r="X625" s="30"/>
      <c r="Y625" s="30"/>
      <c r="Z625" s="30"/>
      <c r="AA625" s="30"/>
      <c r="AB625" s="30"/>
      <c r="AC625" s="30"/>
    </row>
    <row r="626" ht="39.75" customHeight="1">
      <c r="A626" s="30"/>
      <c r="B626" s="31"/>
      <c r="C626" s="30"/>
      <c r="D626" s="30"/>
      <c r="E626" s="30"/>
      <c r="F626" s="30"/>
      <c r="G626" s="30"/>
      <c r="H626" s="30"/>
      <c r="I626" s="32"/>
      <c r="J626" s="30"/>
      <c r="K626" s="30"/>
      <c r="L626" s="30"/>
      <c r="M626" s="30"/>
      <c r="N626" s="30"/>
      <c r="O626" s="30"/>
      <c r="P626" s="30"/>
      <c r="Q626" s="30"/>
      <c r="R626" s="30"/>
      <c r="S626" s="30"/>
      <c r="T626" s="30"/>
      <c r="U626" s="30"/>
      <c r="V626" s="30"/>
      <c r="W626" s="30"/>
      <c r="X626" s="30"/>
      <c r="Y626" s="30"/>
      <c r="Z626" s="30"/>
      <c r="AA626" s="30"/>
      <c r="AB626" s="30"/>
      <c r="AC626" s="30"/>
    </row>
    <row r="627" ht="39.75" customHeight="1">
      <c r="A627" s="30"/>
      <c r="B627" s="31"/>
      <c r="C627" s="30"/>
      <c r="D627" s="30"/>
      <c r="E627" s="30"/>
      <c r="F627" s="30"/>
      <c r="G627" s="30"/>
      <c r="H627" s="30"/>
      <c r="I627" s="32"/>
      <c r="J627" s="30"/>
      <c r="K627" s="30"/>
      <c r="L627" s="30"/>
      <c r="M627" s="30"/>
      <c r="N627" s="30"/>
      <c r="O627" s="30"/>
      <c r="P627" s="30"/>
      <c r="Q627" s="30"/>
      <c r="R627" s="30"/>
      <c r="S627" s="30"/>
      <c r="T627" s="30"/>
      <c r="U627" s="30"/>
      <c r="V627" s="30"/>
      <c r="W627" s="30"/>
      <c r="X627" s="30"/>
      <c r="Y627" s="30"/>
      <c r="Z627" s="30"/>
      <c r="AA627" s="30"/>
      <c r="AB627" s="30"/>
      <c r="AC627" s="30"/>
    </row>
    <row r="628" ht="39.75" customHeight="1">
      <c r="A628" s="30"/>
      <c r="B628" s="31"/>
      <c r="C628" s="30"/>
      <c r="D628" s="30"/>
      <c r="E628" s="30"/>
      <c r="F628" s="30"/>
      <c r="G628" s="30"/>
      <c r="H628" s="30"/>
      <c r="I628" s="32"/>
      <c r="J628" s="30"/>
      <c r="K628" s="30"/>
      <c r="L628" s="30"/>
      <c r="M628" s="30"/>
      <c r="N628" s="30"/>
      <c r="O628" s="30"/>
      <c r="P628" s="30"/>
      <c r="Q628" s="30"/>
      <c r="R628" s="30"/>
      <c r="S628" s="30"/>
      <c r="T628" s="30"/>
      <c r="U628" s="30"/>
      <c r="V628" s="30"/>
      <c r="W628" s="30"/>
      <c r="X628" s="30"/>
      <c r="Y628" s="30"/>
      <c r="Z628" s="30"/>
      <c r="AA628" s="30"/>
      <c r="AB628" s="30"/>
      <c r="AC628" s="30"/>
    </row>
    <row r="629" ht="39.75" customHeight="1">
      <c r="A629" s="30"/>
      <c r="B629" s="31"/>
      <c r="C629" s="30"/>
      <c r="D629" s="30"/>
      <c r="E629" s="30"/>
      <c r="F629" s="30"/>
      <c r="G629" s="30"/>
      <c r="H629" s="30"/>
      <c r="I629" s="32"/>
      <c r="J629" s="30"/>
      <c r="K629" s="30"/>
      <c r="L629" s="30"/>
      <c r="M629" s="30"/>
      <c r="N629" s="30"/>
      <c r="O629" s="30"/>
      <c r="P629" s="30"/>
      <c r="Q629" s="30"/>
      <c r="R629" s="30"/>
      <c r="S629" s="30"/>
      <c r="T629" s="30"/>
      <c r="U629" s="30"/>
      <c r="V629" s="30"/>
      <c r="W629" s="30"/>
      <c r="X629" s="30"/>
      <c r="Y629" s="30"/>
      <c r="Z629" s="30"/>
      <c r="AA629" s="30"/>
      <c r="AB629" s="30"/>
      <c r="AC629" s="30"/>
    </row>
    <row r="630" ht="39.75" customHeight="1">
      <c r="A630" s="30"/>
      <c r="B630" s="31"/>
      <c r="C630" s="30"/>
      <c r="D630" s="30"/>
      <c r="E630" s="30"/>
      <c r="F630" s="30"/>
      <c r="G630" s="30"/>
      <c r="H630" s="30"/>
      <c r="I630" s="32"/>
      <c r="J630" s="30"/>
      <c r="K630" s="30"/>
      <c r="L630" s="30"/>
      <c r="M630" s="30"/>
      <c r="N630" s="30"/>
      <c r="O630" s="30"/>
      <c r="P630" s="30"/>
      <c r="Q630" s="30"/>
      <c r="R630" s="30"/>
      <c r="S630" s="30"/>
      <c r="T630" s="30"/>
      <c r="U630" s="30"/>
      <c r="V630" s="30"/>
      <c r="W630" s="30"/>
      <c r="X630" s="30"/>
      <c r="Y630" s="30"/>
      <c r="Z630" s="30"/>
      <c r="AA630" s="30"/>
      <c r="AB630" s="30"/>
      <c r="AC630" s="30"/>
    </row>
    <row r="631" ht="39.75" customHeight="1">
      <c r="A631" s="30"/>
      <c r="B631" s="31"/>
      <c r="C631" s="30"/>
      <c r="D631" s="30"/>
      <c r="E631" s="30"/>
      <c r="F631" s="30"/>
      <c r="G631" s="30"/>
      <c r="H631" s="30"/>
      <c r="I631" s="32"/>
      <c r="J631" s="30"/>
      <c r="K631" s="30"/>
      <c r="L631" s="30"/>
      <c r="M631" s="30"/>
      <c r="N631" s="30"/>
      <c r="O631" s="30"/>
      <c r="P631" s="30"/>
      <c r="Q631" s="30"/>
      <c r="R631" s="30"/>
      <c r="S631" s="30"/>
      <c r="T631" s="30"/>
      <c r="U631" s="30"/>
      <c r="V631" s="30"/>
      <c r="W631" s="30"/>
      <c r="X631" s="30"/>
      <c r="Y631" s="30"/>
      <c r="Z631" s="30"/>
      <c r="AA631" s="30"/>
      <c r="AB631" s="30"/>
      <c r="AC631" s="30"/>
    </row>
    <row r="632" ht="39.75" customHeight="1">
      <c r="A632" s="30"/>
      <c r="B632" s="31"/>
      <c r="C632" s="30"/>
      <c r="D632" s="30"/>
      <c r="E632" s="30"/>
      <c r="F632" s="30"/>
      <c r="G632" s="30"/>
      <c r="H632" s="30"/>
      <c r="I632" s="32"/>
      <c r="J632" s="30"/>
      <c r="K632" s="30"/>
      <c r="L632" s="30"/>
      <c r="M632" s="30"/>
      <c r="N632" s="30"/>
      <c r="O632" s="30"/>
      <c r="P632" s="30"/>
      <c r="Q632" s="30"/>
      <c r="R632" s="30"/>
      <c r="S632" s="30"/>
      <c r="T632" s="30"/>
      <c r="U632" s="30"/>
      <c r="V632" s="30"/>
      <c r="W632" s="30"/>
      <c r="X632" s="30"/>
      <c r="Y632" s="30"/>
      <c r="Z632" s="30"/>
      <c r="AA632" s="30"/>
      <c r="AB632" s="30"/>
      <c r="AC632" s="30"/>
    </row>
    <row r="633" ht="39.75" customHeight="1">
      <c r="A633" s="30"/>
      <c r="B633" s="31"/>
      <c r="C633" s="30"/>
      <c r="D633" s="30"/>
      <c r="E633" s="30"/>
      <c r="F633" s="30"/>
      <c r="G633" s="30"/>
      <c r="H633" s="30"/>
      <c r="I633" s="32"/>
      <c r="J633" s="30"/>
      <c r="K633" s="30"/>
      <c r="L633" s="30"/>
      <c r="M633" s="30"/>
      <c r="N633" s="30"/>
      <c r="O633" s="30"/>
      <c r="P633" s="30"/>
      <c r="Q633" s="30"/>
      <c r="R633" s="30"/>
      <c r="S633" s="30"/>
      <c r="T633" s="30"/>
      <c r="U633" s="30"/>
      <c r="V633" s="30"/>
      <c r="W633" s="30"/>
      <c r="X633" s="30"/>
      <c r="Y633" s="30"/>
      <c r="Z633" s="30"/>
      <c r="AA633" s="30"/>
      <c r="AB633" s="30"/>
      <c r="AC633" s="30"/>
    </row>
    <row r="634" ht="39.75" customHeight="1">
      <c r="A634" s="30"/>
      <c r="B634" s="31"/>
      <c r="C634" s="30"/>
      <c r="D634" s="30"/>
      <c r="E634" s="30"/>
      <c r="F634" s="30"/>
      <c r="G634" s="30"/>
      <c r="H634" s="30"/>
      <c r="I634" s="32"/>
      <c r="J634" s="30"/>
      <c r="K634" s="30"/>
      <c r="L634" s="30"/>
      <c r="M634" s="30"/>
      <c r="N634" s="30"/>
      <c r="O634" s="30"/>
      <c r="P634" s="30"/>
      <c r="Q634" s="30"/>
      <c r="R634" s="30"/>
      <c r="S634" s="30"/>
      <c r="T634" s="30"/>
      <c r="U634" s="30"/>
      <c r="V634" s="30"/>
      <c r="W634" s="30"/>
      <c r="X634" s="30"/>
      <c r="Y634" s="30"/>
      <c r="Z634" s="30"/>
      <c r="AA634" s="30"/>
      <c r="AB634" s="30"/>
      <c r="AC634" s="30"/>
    </row>
    <row r="635" ht="39.75" customHeight="1">
      <c r="A635" s="30"/>
      <c r="B635" s="31"/>
      <c r="C635" s="30"/>
      <c r="D635" s="30"/>
      <c r="E635" s="30"/>
      <c r="F635" s="30"/>
      <c r="G635" s="30"/>
      <c r="H635" s="30"/>
      <c r="I635" s="32"/>
      <c r="J635" s="30"/>
      <c r="K635" s="30"/>
      <c r="L635" s="30"/>
      <c r="M635" s="30"/>
      <c r="N635" s="30"/>
      <c r="O635" s="30"/>
      <c r="P635" s="30"/>
      <c r="Q635" s="30"/>
      <c r="R635" s="30"/>
      <c r="S635" s="30"/>
      <c r="T635" s="30"/>
      <c r="U635" s="30"/>
      <c r="V635" s="30"/>
      <c r="W635" s="30"/>
      <c r="X635" s="30"/>
      <c r="Y635" s="30"/>
      <c r="Z635" s="30"/>
      <c r="AA635" s="30"/>
      <c r="AB635" s="30"/>
      <c r="AC635" s="30"/>
    </row>
    <row r="636" ht="39.75" customHeight="1">
      <c r="A636" s="30"/>
      <c r="B636" s="31"/>
      <c r="C636" s="30"/>
      <c r="D636" s="30"/>
      <c r="E636" s="30"/>
      <c r="F636" s="30"/>
      <c r="G636" s="30"/>
      <c r="H636" s="30"/>
      <c r="I636" s="32"/>
      <c r="J636" s="30"/>
      <c r="K636" s="30"/>
      <c r="L636" s="30"/>
      <c r="M636" s="30"/>
      <c r="N636" s="30"/>
      <c r="O636" s="30"/>
      <c r="P636" s="30"/>
      <c r="Q636" s="30"/>
      <c r="R636" s="30"/>
      <c r="S636" s="30"/>
      <c r="T636" s="30"/>
      <c r="U636" s="30"/>
      <c r="V636" s="30"/>
      <c r="W636" s="30"/>
      <c r="X636" s="30"/>
      <c r="Y636" s="30"/>
      <c r="Z636" s="30"/>
      <c r="AA636" s="30"/>
      <c r="AB636" s="30"/>
      <c r="AC636" s="30"/>
    </row>
    <row r="637" ht="39.75" customHeight="1">
      <c r="A637" s="30"/>
      <c r="B637" s="31"/>
      <c r="C637" s="30"/>
      <c r="D637" s="30"/>
      <c r="E637" s="30"/>
      <c r="F637" s="30"/>
      <c r="G637" s="30"/>
      <c r="H637" s="30"/>
      <c r="I637" s="32"/>
      <c r="J637" s="30"/>
      <c r="K637" s="30"/>
      <c r="L637" s="30"/>
      <c r="M637" s="30"/>
      <c r="N637" s="30"/>
      <c r="O637" s="30"/>
      <c r="P637" s="30"/>
      <c r="Q637" s="30"/>
      <c r="R637" s="30"/>
      <c r="S637" s="30"/>
      <c r="T637" s="30"/>
      <c r="U637" s="30"/>
      <c r="V637" s="30"/>
      <c r="W637" s="30"/>
      <c r="X637" s="30"/>
      <c r="Y637" s="30"/>
      <c r="Z637" s="30"/>
      <c r="AA637" s="30"/>
      <c r="AB637" s="30"/>
      <c r="AC637" s="30"/>
    </row>
    <row r="638" ht="39.75" customHeight="1">
      <c r="A638" s="30"/>
      <c r="B638" s="31"/>
      <c r="C638" s="30"/>
      <c r="D638" s="30"/>
      <c r="E638" s="30"/>
      <c r="F638" s="30"/>
      <c r="G638" s="30"/>
      <c r="H638" s="30"/>
      <c r="I638" s="32"/>
      <c r="J638" s="30"/>
      <c r="K638" s="30"/>
      <c r="L638" s="30"/>
      <c r="M638" s="30"/>
      <c r="N638" s="30"/>
      <c r="O638" s="30"/>
      <c r="P638" s="30"/>
      <c r="Q638" s="30"/>
      <c r="R638" s="30"/>
      <c r="S638" s="30"/>
      <c r="T638" s="30"/>
      <c r="U638" s="30"/>
      <c r="V638" s="30"/>
      <c r="W638" s="30"/>
      <c r="X638" s="30"/>
      <c r="Y638" s="30"/>
      <c r="Z638" s="30"/>
      <c r="AA638" s="30"/>
      <c r="AB638" s="30"/>
      <c r="AC638" s="30"/>
    </row>
    <row r="639" ht="39.75" customHeight="1">
      <c r="A639" s="30"/>
      <c r="B639" s="31"/>
      <c r="C639" s="30"/>
      <c r="D639" s="30"/>
      <c r="E639" s="30"/>
      <c r="F639" s="30"/>
      <c r="G639" s="30"/>
      <c r="H639" s="30"/>
      <c r="I639" s="32"/>
      <c r="J639" s="30"/>
      <c r="K639" s="30"/>
      <c r="L639" s="30"/>
      <c r="M639" s="30"/>
      <c r="N639" s="30"/>
      <c r="O639" s="30"/>
      <c r="P639" s="30"/>
      <c r="Q639" s="30"/>
      <c r="R639" s="30"/>
      <c r="S639" s="30"/>
      <c r="T639" s="30"/>
      <c r="U639" s="30"/>
      <c r="V639" s="30"/>
      <c r="W639" s="30"/>
      <c r="X639" s="30"/>
      <c r="Y639" s="30"/>
      <c r="Z639" s="30"/>
      <c r="AA639" s="30"/>
      <c r="AB639" s="30"/>
      <c r="AC639" s="30"/>
    </row>
    <row r="640" ht="39.75" customHeight="1">
      <c r="A640" s="30"/>
      <c r="B640" s="31"/>
      <c r="C640" s="30"/>
      <c r="D640" s="30"/>
      <c r="E640" s="30"/>
      <c r="F640" s="30"/>
      <c r="G640" s="30"/>
      <c r="H640" s="30"/>
      <c r="I640" s="32"/>
      <c r="J640" s="30"/>
      <c r="K640" s="30"/>
      <c r="L640" s="30"/>
      <c r="M640" s="30"/>
      <c r="N640" s="30"/>
      <c r="O640" s="30"/>
      <c r="P640" s="30"/>
      <c r="Q640" s="30"/>
      <c r="R640" s="30"/>
      <c r="S640" s="30"/>
      <c r="T640" s="30"/>
      <c r="U640" s="30"/>
      <c r="V640" s="30"/>
      <c r="W640" s="30"/>
      <c r="X640" s="30"/>
      <c r="Y640" s="30"/>
      <c r="Z640" s="30"/>
      <c r="AA640" s="30"/>
      <c r="AB640" s="30"/>
      <c r="AC640" s="30"/>
    </row>
    <row r="641" ht="39.75" customHeight="1">
      <c r="A641" s="30"/>
      <c r="B641" s="31"/>
      <c r="C641" s="30"/>
      <c r="D641" s="30"/>
      <c r="E641" s="30"/>
      <c r="F641" s="30"/>
      <c r="G641" s="30"/>
      <c r="H641" s="30"/>
      <c r="I641" s="32"/>
      <c r="J641" s="30"/>
      <c r="K641" s="30"/>
      <c r="L641" s="30"/>
      <c r="M641" s="30"/>
      <c r="N641" s="30"/>
      <c r="O641" s="30"/>
      <c r="P641" s="30"/>
      <c r="Q641" s="30"/>
      <c r="R641" s="30"/>
      <c r="S641" s="30"/>
      <c r="T641" s="30"/>
      <c r="U641" s="30"/>
      <c r="V641" s="30"/>
      <c r="W641" s="30"/>
      <c r="X641" s="30"/>
      <c r="Y641" s="30"/>
      <c r="Z641" s="30"/>
      <c r="AA641" s="30"/>
      <c r="AB641" s="30"/>
      <c r="AC641" s="30"/>
    </row>
    <row r="642" ht="39.75" customHeight="1">
      <c r="A642" s="30"/>
      <c r="B642" s="31"/>
      <c r="C642" s="30"/>
      <c r="D642" s="30"/>
      <c r="E642" s="30"/>
      <c r="F642" s="30"/>
      <c r="G642" s="30"/>
      <c r="H642" s="30"/>
      <c r="I642" s="32"/>
      <c r="J642" s="30"/>
      <c r="K642" s="30"/>
      <c r="L642" s="30"/>
      <c r="M642" s="30"/>
      <c r="N642" s="30"/>
      <c r="O642" s="30"/>
      <c r="P642" s="30"/>
      <c r="Q642" s="30"/>
      <c r="R642" s="30"/>
      <c r="S642" s="30"/>
      <c r="T642" s="30"/>
      <c r="U642" s="30"/>
      <c r="V642" s="30"/>
      <c r="W642" s="30"/>
      <c r="X642" s="30"/>
      <c r="Y642" s="30"/>
      <c r="Z642" s="30"/>
      <c r="AA642" s="30"/>
      <c r="AB642" s="30"/>
      <c r="AC642" s="30"/>
    </row>
    <row r="643" ht="39.75" customHeight="1">
      <c r="A643" s="30"/>
      <c r="B643" s="31"/>
      <c r="C643" s="30"/>
      <c r="D643" s="30"/>
      <c r="E643" s="30"/>
      <c r="F643" s="30"/>
      <c r="G643" s="30"/>
      <c r="H643" s="30"/>
      <c r="I643" s="32"/>
      <c r="J643" s="30"/>
      <c r="K643" s="30"/>
      <c r="L643" s="30"/>
      <c r="M643" s="30"/>
      <c r="N643" s="30"/>
      <c r="O643" s="30"/>
      <c r="P643" s="30"/>
      <c r="Q643" s="30"/>
      <c r="R643" s="30"/>
      <c r="S643" s="30"/>
      <c r="T643" s="30"/>
      <c r="U643" s="30"/>
      <c r="V643" s="30"/>
      <c r="W643" s="30"/>
      <c r="X643" s="30"/>
      <c r="Y643" s="30"/>
      <c r="Z643" s="30"/>
      <c r="AA643" s="30"/>
      <c r="AB643" s="30"/>
      <c r="AC643" s="30"/>
    </row>
    <row r="644" ht="39.75" customHeight="1">
      <c r="A644" s="30"/>
      <c r="B644" s="31"/>
      <c r="C644" s="30"/>
      <c r="D644" s="30"/>
      <c r="E644" s="30"/>
      <c r="F644" s="30"/>
      <c r="G644" s="30"/>
      <c r="H644" s="30"/>
      <c r="I644" s="32"/>
      <c r="J644" s="30"/>
      <c r="K644" s="30"/>
      <c r="L644" s="30"/>
      <c r="M644" s="30"/>
      <c r="N644" s="30"/>
      <c r="O644" s="30"/>
      <c r="P644" s="30"/>
      <c r="Q644" s="30"/>
      <c r="R644" s="30"/>
      <c r="S644" s="30"/>
      <c r="T644" s="30"/>
      <c r="U644" s="30"/>
      <c r="V644" s="30"/>
      <c r="W644" s="30"/>
      <c r="X644" s="30"/>
      <c r="Y644" s="30"/>
      <c r="Z644" s="30"/>
      <c r="AA644" s="30"/>
      <c r="AB644" s="30"/>
      <c r="AC644" s="30"/>
    </row>
    <row r="645" ht="39.75" customHeight="1">
      <c r="A645" s="30"/>
      <c r="B645" s="31"/>
      <c r="C645" s="30"/>
      <c r="D645" s="30"/>
      <c r="E645" s="30"/>
      <c r="F645" s="30"/>
      <c r="G645" s="30"/>
      <c r="H645" s="30"/>
      <c r="I645" s="32"/>
      <c r="J645" s="30"/>
      <c r="K645" s="30"/>
      <c r="L645" s="30"/>
      <c r="M645" s="30"/>
      <c r="N645" s="30"/>
      <c r="O645" s="30"/>
      <c r="P645" s="30"/>
      <c r="Q645" s="30"/>
      <c r="R645" s="30"/>
      <c r="S645" s="30"/>
      <c r="T645" s="30"/>
      <c r="U645" s="30"/>
      <c r="V645" s="30"/>
      <c r="W645" s="30"/>
      <c r="X645" s="30"/>
      <c r="Y645" s="30"/>
      <c r="Z645" s="30"/>
      <c r="AA645" s="30"/>
      <c r="AB645" s="30"/>
      <c r="AC645" s="30"/>
    </row>
    <row r="646" ht="39.75" customHeight="1">
      <c r="A646" s="30"/>
      <c r="B646" s="31"/>
      <c r="C646" s="30"/>
      <c r="D646" s="30"/>
      <c r="E646" s="30"/>
      <c r="F646" s="30"/>
      <c r="G646" s="30"/>
      <c r="H646" s="30"/>
      <c r="I646" s="32"/>
      <c r="J646" s="30"/>
      <c r="K646" s="30"/>
      <c r="L646" s="30"/>
      <c r="M646" s="30"/>
      <c r="N646" s="30"/>
      <c r="O646" s="30"/>
      <c r="P646" s="30"/>
      <c r="Q646" s="30"/>
      <c r="R646" s="30"/>
      <c r="S646" s="30"/>
      <c r="T646" s="30"/>
      <c r="U646" s="30"/>
      <c r="V646" s="30"/>
      <c r="W646" s="30"/>
      <c r="X646" s="30"/>
      <c r="Y646" s="30"/>
      <c r="Z646" s="30"/>
      <c r="AA646" s="30"/>
      <c r="AB646" s="30"/>
      <c r="AC646" s="30"/>
    </row>
    <row r="647" ht="39.75" customHeight="1">
      <c r="A647" s="30"/>
      <c r="B647" s="31"/>
      <c r="C647" s="30"/>
      <c r="D647" s="30"/>
      <c r="E647" s="30"/>
      <c r="F647" s="30"/>
      <c r="G647" s="30"/>
      <c r="H647" s="30"/>
      <c r="I647" s="32"/>
      <c r="J647" s="30"/>
      <c r="K647" s="30"/>
      <c r="L647" s="30"/>
      <c r="M647" s="30"/>
      <c r="N647" s="30"/>
      <c r="O647" s="30"/>
      <c r="P647" s="30"/>
      <c r="Q647" s="30"/>
      <c r="R647" s="30"/>
      <c r="S647" s="30"/>
      <c r="T647" s="30"/>
      <c r="U647" s="30"/>
      <c r="V647" s="30"/>
      <c r="W647" s="30"/>
      <c r="X647" s="30"/>
      <c r="Y647" s="30"/>
      <c r="Z647" s="30"/>
      <c r="AA647" s="30"/>
      <c r="AB647" s="30"/>
      <c r="AC647" s="30"/>
    </row>
    <row r="648" ht="39.75" customHeight="1">
      <c r="A648" s="30"/>
      <c r="B648" s="31"/>
      <c r="C648" s="30"/>
      <c r="D648" s="30"/>
      <c r="E648" s="30"/>
      <c r="F648" s="30"/>
      <c r="G648" s="30"/>
      <c r="H648" s="30"/>
      <c r="I648" s="32"/>
      <c r="J648" s="30"/>
      <c r="K648" s="30"/>
      <c r="L648" s="30"/>
      <c r="M648" s="30"/>
      <c r="N648" s="30"/>
      <c r="O648" s="30"/>
      <c r="P648" s="30"/>
      <c r="Q648" s="30"/>
      <c r="R648" s="30"/>
      <c r="S648" s="30"/>
      <c r="T648" s="30"/>
      <c r="U648" s="30"/>
      <c r="V648" s="30"/>
      <c r="W648" s="30"/>
      <c r="X648" s="30"/>
      <c r="Y648" s="30"/>
      <c r="Z648" s="30"/>
      <c r="AA648" s="30"/>
      <c r="AB648" s="30"/>
      <c r="AC648" s="30"/>
    </row>
    <row r="649" ht="39.75" customHeight="1">
      <c r="A649" s="30"/>
      <c r="B649" s="31"/>
      <c r="C649" s="30"/>
      <c r="D649" s="30"/>
      <c r="E649" s="30"/>
      <c r="F649" s="30"/>
      <c r="G649" s="30"/>
      <c r="H649" s="30"/>
      <c r="I649" s="32"/>
      <c r="J649" s="30"/>
      <c r="K649" s="30"/>
      <c r="L649" s="30"/>
      <c r="M649" s="30"/>
      <c r="N649" s="30"/>
      <c r="O649" s="30"/>
      <c r="P649" s="30"/>
      <c r="Q649" s="30"/>
      <c r="R649" s="30"/>
      <c r="S649" s="30"/>
      <c r="T649" s="30"/>
      <c r="U649" s="30"/>
      <c r="V649" s="30"/>
      <c r="W649" s="30"/>
      <c r="X649" s="30"/>
      <c r="Y649" s="30"/>
      <c r="Z649" s="30"/>
      <c r="AA649" s="30"/>
      <c r="AB649" s="30"/>
      <c r="AC649" s="30"/>
    </row>
    <row r="650" ht="39.75" customHeight="1">
      <c r="A650" s="30"/>
      <c r="B650" s="31"/>
      <c r="C650" s="30"/>
      <c r="D650" s="30"/>
      <c r="E650" s="30"/>
      <c r="F650" s="30"/>
      <c r="G650" s="30"/>
      <c r="H650" s="30"/>
      <c r="I650" s="32"/>
      <c r="J650" s="30"/>
      <c r="K650" s="30"/>
      <c r="L650" s="30"/>
      <c r="M650" s="30"/>
      <c r="N650" s="30"/>
      <c r="O650" s="30"/>
      <c r="P650" s="30"/>
      <c r="Q650" s="30"/>
      <c r="R650" s="30"/>
      <c r="S650" s="30"/>
      <c r="T650" s="30"/>
      <c r="U650" s="30"/>
      <c r="V650" s="30"/>
      <c r="W650" s="30"/>
      <c r="X650" s="30"/>
      <c r="Y650" s="30"/>
      <c r="Z650" s="30"/>
      <c r="AA650" s="30"/>
      <c r="AB650" s="30"/>
      <c r="AC650" s="30"/>
    </row>
    <row r="651" ht="39.75" customHeight="1">
      <c r="A651" s="30"/>
      <c r="B651" s="31"/>
      <c r="C651" s="30"/>
      <c r="D651" s="30"/>
      <c r="E651" s="30"/>
      <c r="F651" s="30"/>
      <c r="G651" s="30"/>
      <c r="H651" s="30"/>
      <c r="I651" s="32"/>
      <c r="J651" s="30"/>
      <c r="K651" s="30"/>
      <c r="L651" s="30"/>
      <c r="M651" s="30"/>
      <c r="N651" s="30"/>
      <c r="O651" s="30"/>
      <c r="P651" s="30"/>
      <c r="Q651" s="30"/>
      <c r="R651" s="30"/>
      <c r="S651" s="30"/>
      <c r="T651" s="30"/>
      <c r="U651" s="30"/>
      <c r="V651" s="30"/>
      <c r="W651" s="30"/>
      <c r="X651" s="30"/>
      <c r="Y651" s="30"/>
      <c r="Z651" s="30"/>
      <c r="AA651" s="30"/>
      <c r="AB651" s="30"/>
      <c r="AC651" s="30"/>
    </row>
    <row r="652" ht="39.75" customHeight="1">
      <c r="A652" s="30"/>
      <c r="B652" s="31"/>
      <c r="C652" s="30"/>
      <c r="D652" s="30"/>
      <c r="E652" s="30"/>
      <c r="F652" s="30"/>
      <c r="G652" s="30"/>
      <c r="H652" s="30"/>
      <c r="I652" s="32"/>
      <c r="J652" s="30"/>
      <c r="K652" s="30"/>
      <c r="L652" s="30"/>
      <c r="M652" s="30"/>
      <c r="N652" s="30"/>
      <c r="O652" s="30"/>
      <c r="P652" s="30"/>
      <c r="Q652" s="30"/>
      <c r="R652" s="30"/>
      <c r="S652" s="30"/>
      <c r="T652" s="30"/>
      <c r="U652" s="30"/>
      <c r="V652" s="30"/>
      <c r="W652" s="30"/>
      <c r="X652" s="30"/>
      <c r="Y652" s="30"/>
      <c r="Z652" s="30"/>
      <c r="AA652" s="30"/>
      <c r="AB652" s="30"/>
      <c r="AC652" s="30"/>
    </row>
    <row r="653" ht="39.75" customHeight="1">
      <c r="A653" s="30"/>
      <c r="B653" s="31"/>
      <c r="C653" s="30"/>
      <c r="D653" s="30"/>
      <c r="E653" s="30"/>
      <c r="F653" s="30"/>
      <c r="G653" s="30"/>
      <c r="H653" s="30"/>
      <c r="I653" s="32"/>
      <c r="J653" s="30"/>
      <c r="K653" s="30"/>
      <c r="L653" s="30"/>
      <c r="M653" s="30"/>
      <c r="N653" s="30"/>
      <c r="O653" s="30"/>
      <c r="P653" s="30"/>
      <c r="Q653" s="30"/>
      <c r="R653" s="30"/>
      <c r="S653" s="30"/>
      <c r="T653" s="30"/>
      <c r="U653" s="30"/>
      <c r="V653" s="30"/>
      <c r="W653" s="30"/>
      <c r="X653" s="30"/>
      <c r="Y653" s="30"/>
      <c r="Z653" s="30"/>
      <c r="AA653" s="30"/>
      <c r="AB653" s="30"/>
      <c r="AC653" s="30"/>
    </row>
    <row r="654" ht="39.75" customHeight="1">
      <c r="A654" s="30"/>
      <c r="B654" s="31"/>
      <c r="C654" s="30"/>
      <c r="D654" s="30"/>
      <c r="E654" s="30"/>
      <c r="F654" s="30"/>
      <c r="G654" s="30"/>
      <c r="H654" s="30"/>
      <c r="I654" s="32"/>
      <c r="J654" s="30"/>
      <c r="K654" s="30"/>
      <c r="L654" s="30"/>
      <c r="M654" s="30"/>
      <c r="N654" s="30"/>
      <c r="O654" s="30"/>
      <c r="P654" s="30"/>
      <c r="Q654" s="30"/>
      <c r="R654" s="30"/>
      <c r="S654" s="30"/>
      <c r="T654" s="30"/>
      <c r="U654" s="30"/>
      <c r="V654" s="30"/>
      <c r="W654" s="30"/>
      <c r="X654" s="30"/>
      <c r="Y654" s="30"/>
      <c r="Z654" s="30"/>
      <c r="AA654" s="30"/>
      <c r="AB654" s="30"/>
      <c r="AC654" s="30"/>
    </row>
    <row r="655" ht="39.75" customHeight="1">
      <c r="A655" s="30"/>
      <c r="B655" s="31"/>
      <c r="C655" s="30"/>
      <c r="D655" s="30"/>
      <c r="E655" s="30"/>
      <c r="F655" s="30"/>
      <c r="G655" s="30"/>
      <c r="H655" s="30"/>
      <c r="I655" s="32"/>
      <c r="J655" s="30"/>
      <c r="K655" s="30"/>
      <c r="L655" s="30"/>
      <c r="M655" s="30"/>
      <c r="N655" s="30"/>
      <c r="O655" s="30"/>
      <c r="P655" s="30"/>
      <c r="Q655" s="30"/>
      <c r="R655" s="30"/>
      <c r="S655" s="30"/>
      <c r="T655" s="30"/>
      <c r="U655" s="30"/>
      <c r="V655" s="30"/>
      <c r="W655" s="30"/>
      <c r="X655" s="30"/>
      <c r="Y655" s="30"/>
      <c r="Z655" s="30"/>
      <c r="AA655" s="30"/>
      <c r="AB655" s="30"/>
      <c r="AC655" s="30"/>
    </row>
    <row r="656" ht="39.75" customHeight="1">
      <c r="A656" s="30"/>
      <c r="B656" s="31"/>
      <c r="C656" s="30"/>
      <c r="D656" s="30"/>
      <c r="E656" s="30"/>
      <c r="F656" s="30"/>
      <c r="G656" s="30"/>
      <c r="H656" s="30"/>
      <c r="I656" s="32"/>
      <c r="J656" s="30"/>
      <c r="K656" s="30"/>
      <c r="L656" s="30"/>
      <c r="M656" s="30"/>
      <c r="N656" s="30"/>
      <c r="O656" s="30"/>
      <c r="P656" s="30"/>
      <c r="Q656" s="30"/>
      <c r="R656" s="30"/>
      <c r="S656" s="30"/>
      <c r="T656" s="30"/>
      <c r="U656" s="30"/>
      <c r="V656" s="30"/>
      <c r="W656" s="30"/>
      <c r="X656" s="30"/>
      <c r="Y656" s="30"/>
      <c r="Z656" s="30"/>
      <c r="AA656" s="30"/>
      <c r="AB656" s="30"/>
      <c r="AC656" s="30"/>
    </row>
    <row r="657" ht="39.75" customHeight="1">
      <c r="A657" s="30"/>
      <c r="B657" s="31"/>
      <c r="C657" s="30"/>
      <c r="D657" s="30"/>
      <c r="E657" s="30"/>
      <c r="F657" s="30"/>
      <c r="G657" s="30"/>
      <c r="H657" s="30"/>
      <c r="I657" s="32"/>
      <c r="J657" s="30"/>
      <c r="K657" s="30"/>
      <c r="L657" s="30"/>
      <c r="M657" s="30"/>
      <c r="N657" s="30"/>
      <c r="O657" s="30"/>
      <c r="P657" s="30"/>
      <c r="Q657" s="30"/>
      <c r="R657" s="30"/>
      <c r="S657" s="30"/>
      <c r="T657" s="30"/>
      <c r="U657" s="30"/>
      <c r="V657" s="30"/>
      <c r="W657" s="30"/>
      <c r="X657" s="30"/>
      <c r="Y657" s="30"/>
      <c r="Z657" s="30"/>
      <c r="AA657" s="30"/>
      <c r="AB657" s="30"/>
      <c r="AC657" s="30"/>
    </row>
    <row r="658" ht="39.75" customHeight="1">
      <c r="A658" s="30"/>
      <c r="B658" s="31"/>
      <c r="C658" s="30"/>
      <c r="D658" s="30"/>
      <c r="E658" s="30"/>
      <c r="F658" s="30"/>
      <c r="G658" s="30"/>
      <c r="H658" s="30"/>
      <c r="I658" s="32"/>
      <c r="J658" s="30"/>
      <c r="K658" s="30"/>
      <c r="L658" s="30"/>
      <c r="M658" s="30"/>
      <c r="N658" s="30"/>
      <c r="O658" s="30"/>
      <c r="P658" s="30"/>
      <c r="Q658" s="30"/>
      <c r="R658" s="30"/>
      <c r="S658" s="30"/>
      <c r="T658" s="30"/>
      <c r="U658" s="30"/>
      <c r="V658" s="30"/>
      <c r="W658" s="30"/>
      <c r="X658" s="30"/>
      <c r="Y658" s="30"/>
      <c r="Z658" s="30"/>
      <c r="AA658" s="30"/>
      <c r="AB658" s="30"/>
      <c r="AC658" s="30"/>
    </row>
    <row r="659" ht="39.75" customHeight="1">
      <c r="A659" s="30"/>
      <c r="B659" s="31"/>
      <c r="C659" s="30"/>
      <c r="D659" s="30"/>
      <c r="E659" s="30"/>
      <c r="F659" s="30"/>
      <c r="G659" s="30"/>
      <c r="H659" s="30"/>
      <c r="I659" s="32"/>
      <c r="J659" s="30"/>
      <c r="K659" s="30"/>
      <c r="L659" s="30"/>
      <c r="M659" s="30"/>
      <c r="N659" s="30"/>
      <c r="O659" s="30"/>
      <c r="P659" s="30"/>
      <c r="Q659" s="30"/>
      <c r="R659" s="30"/>
      <c r="S659" s="30"/>
      <c r="T659" s="30"/>
      <c r="U659" s="30"/>
      <c r="V659" s="30"/>
      <c r="W659" s="30"/>
      <c r="X659" s="30"/>
      <c r="Y659" s="30"/>
      <c r="Z659" s="30"/>
      <c r="AA659" s="30"/>
      <c r="AB659" s="30"/>
      <c r="AC659" s="30"/>
    </row>
    <row r="660" ht="39.75" customHeight="1">
      <c r="A660" s="30"/>
      <c r="B660" s="31"/>
      <c r="C660" s="30"/>
      <c r="D660" s="30"/>
      <c r="E660" s="30"/>
      <c r="F660" s="30"/>
      <c r="G660" s="30"/>
      <c r="H660" s="30"/>
      <c r="I660" s="32"/>
      <c r="J660" s="30"/>
      <c r="K660" s="30"/>
      <c r="L660" s="30"/>
      <c r="M660" s="30"/>
      <c r="N660" s="30"/>
      <c r="O660" s="30"/>
      <c r="P660" s="30"/>
      <c r="Q660" s="30"/>
      <c r="R660" s="30"/>
      <c r="S660" s="30"/>
      <c r="T660" s="30"/>
      <c r="U660" s="30"/>
      <c r="V660" s="30"/>
      <c r="W660" s="30"/>
      <c r="X660" s="30"/>
      <c r="Y660" s="30"/>
      <c r="Z660" s="30"/>
      <c r="AA660" s="30"/>
      <c r="AB660" s="30"/>
      <c r="AC660" s="30"/>
    </row>
    <row r="661" ht="39.75" customHeight="1">
      <c r="A661" s="30"/>
      <c r="B661" s="31"/>
      <c r="C661" s="30"/>
      <c r="D661" s="30"/>
      <c r="E661" s="30"/>
      <c r="F661" s="30"/>
      <c r="G661" s="30"/>
      <c r="H661" s="30"/>
      <c r="I661" s="32"/>
      <c r="J661" s="30"/>
      <c r="K661" s="30"/>
      <c r="L661" s="30"/>
      <c r="M661" s="30"/>
      <c r="N661" s="30"/>
      <c r="O661" s="30"/>
      <c r="P661" s="30"/>
      <c r="Q661" s="30"/>
      <c r="R661" s="30"/>
      <c r="S661" s="30"/>
      <c r="T661" s="30"/>
      <c r="U661" s="30"/>
      <c r="V661" s="30"/>
      <c r="W661" s="30"/>
      <c r="X661" s="30"/>
      <c r="Y661" s="30"/>
      <c r="Z661" s="30"/>
      <c r="AA661" s="30"/>
      <c r="AB661" s="30"/>
      <c r="AC661" s="30"/>
    </row>
    <row r="662" ht="39.75" customHeight="1">
      <c r="A662" s="30"/>
      <c r="B662" s="31"/>
      <c r="C662" s="30"/>
      <c r="D662" s="30"/>
      <c r="E662" s="30"/>
      <c r="F662" s="30"/>
      <c r="G662" s="30"/>
      <c r="H662" s="30"/>
      <c r="I662" s="32"/>
      <c r="J662" s="30"/>
      <c r="K662" s="30"/>
      <c r="L662" s="30"/>
      <c r="M662" s="30"/>
      <c r="N662" s="30"/>
      <c r="O662" s="30"/>
      <c r="P662" s="30"/>
      <c r="Q662" s="30"/>
      <c r="R662" s="30"/>
      <c r="S662" s="30"/>
      <c r="T662" s="30"/>
      <c r="U662" s="30"/>
      <c r="V662" s="30"/>
      <c r="W662" s="30"/>
      <c r="X662" s="30"/>
      <c r="Y662" s="30"/>
      <c r="Z662" s="30"/>
      <c r="AA662" s="30"/>
      <c r="AB662" s="30"/>
      <c r="AC662" s="30"/>
    </row>
    <row r="663" ht="39.75" customHeight="1">
      <c r="A663" s="30"/>
      <c r="B663" s="31"/>
      <c r="C663" s="30"/>
      <c r="D663" s="30"/>
      <c r="E663" s="30"/>
      <c r="F663" s="30"/>
      <c r="G663" s="30"/>
      <c r="H663" s="30"/>
      <c r="I663" s="32"/>
      <c r="J663" s="30"/>
      <c r="K663" s="30"/>
      <c r="L663" s="30"/>
      <c r="M663" s="30"/>
      <c r="N663" s="30"/>
      <c r="O663" s="30"/>
      <c r="P663" s="30"/>
      <c r="Q663" s="30"/>
      <c r="R663" s="30"/>
      <c r="S663" s="30"/>
      <c r="T663" s="30"/>
      <c r="U663" s="30"/>
      <c r="V663" s="30"/>
      <c r="W663" s="30"/>
      <c r="X663" s="30"/>
      <c r="Y663" s="30"/>
      <c r="Z663" s="30"/>
      <c r="AA663" s="30"/>
      <c r="AB663" s="30"/>
      <c r="AC663" s="30"/>
    </row>
    <row r="664" ht="39.75" customHeight="1">
      <c r="A664" s="30"/>
      <c r="B664" s="31"/>
      <c r="C664" s="30"/>
      <c r="D664" s="30"/>
      <c r="E664" s="30"/>
      <c r="F664" s="30"/>
      <c r="G664" s="30"/>
      <c r="H664" s="30"/>
      <c r="I664" s="32"/>
      <c r="J664" s="30"/>
      <c r="K664" s="30"/>
      <c r="L664" s="30"/>
      <c r="M664" s="30"/>
      <c r="N664" s="30"/>
      <c r="O664" s="30"/>
      <c r="P664" s="30"/>
      <c r="Q664" s="30"/>
      <c r="R664" s="30"/>
      <c r="S664" s="30"/>
      <c r="T664" s="30"/>
      <c r="U664" s="30"/>
      <c r="V664" s="30"/>
      <c r="W664" s="30"/>
      <c r="X664" s="30"/>
      <c r="Y664" s="30"/>
      <c r="Z664" s="30"/>
      <c r="AA664" s="30"/>
      <c r="AB664" s="30"/>
      <c r="AC664" s="30"/>
    </row>
    <row r="665" ht="39.75" customHeight="1">
      <c r="A665" s="30"/>
      <c r="B665" s="31"/>
      <c r="C665" s="30"/>
      <c r="D665" s="30"/>
      <c r="E665" s="30"/>
      <c r="F665" s="30"/>
      <c r="G665" s="30"/>
      <c r="H665" s="30"/>
      <c r="I665" s="32"/>
      <c r="J665" s="30"/>
      <c r="K665" s="30"/>
      <c r="L665" s="30"/>
      <c r="M665" s="30"/>
      <c r="N665" s="30"/>
      <c r="O665" s="30"/>
      <c r="P665" s="30"/>
      <c r="Q665" s="30"/>
      <c r="R665" s="30"/>
      <c r="S665" s="30"/>
      <c r="T665" s="30"/>
      <c r="U665" s="30"/>
      <c r="V665" s="30"/>
      <c r="W665" s="30"/>
      <c r="X665" s="30"/>
      <c r="Y665" s="30"/>
      <c r="Z665" s="30"/>
      <c r="AA665" s="30"/>
      <c r="AB665" s="30"/>
      <c r="AC665" s="30"/>
    </row>
    <row r="666" ht="39.75" customHeight="1">
      <c r="A666" s="30"/>
      <c r="B666" s="31"/>
      <c r="C666" s="30"/>
      <c r="D666" s="30"/>
      <c r="E666" s="30"/>
      <c r="F666" s="30"/>
      <c r="G666" s="30"/>
      <c r="H666" s="30"/>
      <c r="I666" s="32"/>
      <c r="J666" s="30"/>
      <c r="K666" s="30"/>
      <c r="L666" s="30"/>
      <c r="M666" s="30"/>
      <c r="N666" s="30"/>
      <c r="O666" s="30"/>
      <c r="P666" s="30"/>
      <c r="Q666" s="30"/>
      <c r="R666" s="30"/>
      <c r="S666" s="30"/>
      <c r="T666" s="30"/>
      <c r="U666" s="30"/>
      <c r="V666" s="30"/>
      <c r="W666" s="30"/>
      <c r="X666" s="30"/>
      <c r="Y666" s="30"/>
      <c r="Z666" s="30"/>
      <c r="AA666" s="30"/>
      <c r="AB666" s="30"/>
      <c r="AC666" s="30"/>
    </row>
    <row r="667" ht="39.75" customHeight="1">
      <c r="A667" s="30"/>
      <c r="B667" s="31"/>
      <c r="C667" s="30"/>
      <c r="D667" s="30"/>
      <c r="E667" s="30"/>
      <c r="F667" s="30"/>
      <c r="G667" s="30"/>
      <c r="H667" s="30"/>
      <c r="I667" s="32"/>
      <c r="J667" s="30"/>
      <c r="K667" s="30"/>
      <c r="L667" s="30"/>
      <c r="M667" s="30"/>
      <c r="N667" s="30"/>
      <c r="O667" s="30"/>
      <c r="P667" s="30"/>
      <c r="Q667" s="30"/>
      <c r="R667" s="30"/>
      <c r="S667" s="30"/>
      <c r="T667" s="30"/>
      <c r="U667" s="30"/>
      <c r="V667" s="30"/>
      <c r="W667" s="30"/>
      <c r="X667" s="30"/>
      <c r="Y667" s="30"/>
      <c r="Z667" s="30"/>
      <c r="AA667" s="30"/>
      <c r="AB667" s="30"/>
      <c r="AC667" s="30"/>
    </row>
    <row r="668" ht="39.75" customHeight="1">
      <c r="A668" s="30"/>
      <c r="B668" s="31"/>
      <c r="C668" s="30"/>
      <c r="D668" s="30"/>
      <c r="E668" s="30"/>
      <c r="F668" s="30"/>
      <c r="G668" s="30"/>
      <c r="H668" s="30"/>
      <c r="I668" s="32"/>
      <c r="J668" s="30"/>
      <c r="K668" s="30"/>
      <c r="L668" s="30"/>
      <c r="M668" s="30"/>
      <c r="N668" s="30"/>
      <c r="O668" s="30"/>
      <c r="P668" s="30"/>
      <c r="Q668" s="30"/>
      <c r="R668" s="30"/>
      <c r="S668" s="30"/>
      <c r="T668" s="30"/>
      <c r="U668" s="30"/>
      <c r="V668" s="30"/>
      <c r="W668" s="30"/>
      <c r="X668" s="30"/>
      <c r="Y668" s="30"/>
      <c r="Z668" s="30"/>
      <c r="AA668" s="30"/>
      <c r="AB668" s="30"/>
      <c r="AC668" s="30"/>
    </row>
    <row r="669" ht="39.75" customHeight="1">
      <c r="A669" s="30"/>
      <c r="B669" s="31"/>
      <c r="C669" s="30"/>
      <c r="D669" s="30"/>
      <c r="E669" s="30"/>
      <c r="F669" s="30"/>
      <c r="G669" s="30"/>
      <c r="H669" s="30"/>
      <c r="I669" s="32"/>
      <c r="J669" s="30"/>
      <c r="K669" s="30"/>
      <c r="L669" s="30"/>
      <c r="M669" s="30"/>
      <c r="N669" s="30"/>
      <c r="O669" s="30"/>
      <c r="P669" s="30"/>
      <c r="Q669" s="30"/>
      <c r="R669" s="30"/>
      <c r="S669" s="30"/>
      <c r="T669" s="30"/>
      <c r="U669" s="30"/>
      <c r="V669" s="30"/>
      <c r="W669" s="30"/>
      <c r="X669" s="30"/>
      <c r="Y669" s="30"/>
      <c r="Z669" s="30"/>
      <c r="AA669" s="30"/>
      <c r="AB669" s="30"/>
      <c r="AC669" s="30"/>
    </row>
    <row r="670" ht="39.75" customHeight="1">
      <c r="A670" s="30"/>
      <c r="B670" s="31"/>
      <c r="C670" s="30"/>
      <c r="D670" s="30"/>
      <c r="E670" s="30"/>
      <c r="F670" s="30"/>
      <c r="G670" s="30"/>
      <c r="H670" s="30"/>
      <c r="I670" s="32"/>
      <c r="J670" s="30"/>
      <c r="K670" s="30"/>
      <c r="L670" s="30"/>
      <c r="M670" s="30"/>
      <c r="N670" s="30"/>
      <c r="O670" s="30"/>
      <c r="P670" s="30"/>
      <c r="Q670" s="30"/>
      <c r="R670" s="30"/>
      <c r="S670" s="30"/>
      <c r="T670" s="30"/>
      <c r="U670" s="30"/>
      <c r="V670" s="30"/>
      <c r="W670" s="30"/>
      <c r="X670" s="30"/>
      <c r="Y670" s="30"/>
      <c r="Z670" s="30"/>
      <c r="AA670" s="30"/>
      <c r="AB670" s="30"/>
      <c r="AC670" s="30"/>
    </row>
    <row r="671" ht="39.75" customHeight="1">
      <c r="A671" s="30"/>
      <c r="B671" s="31"/>
      <c r="C671" s="30"/>
      <c r="D671" s="30"/>
      <c r="E671" s="30"/>
      <c r="F671" s="30"/>
      <c r="G671" s="30"/>
      <c r="H671" s="30"/>
      <c r="I671" s="32"/>
      <c r="J671" s="30"/>
      <c r="K671" s="30"/>
      <c r="L671" s="30"/>
      <c r="M671" s="30"/>
      <c r="N671" s="30"/>
      <c r="O671" s="30"/>
      <c r="P671" s="30"/>
      <c r="Q671" s="30"/>
      <c r="R671" s="30"/>
      <c r="S671" s="30"/>
      <c r="T671" s="30"/>
      <c r="U671" s="30"/>
      <c r="V671" s="30"/>
      <c r="W671" s="30"/>
      <c r="X671" s="30"/>
      <c r="Y671" s="30"/>
      <c r="Z671" s="30"/>
      <c r="AA671" s="30"/>
      <c r="AB671" s="30"/>
      <c r="AC671" s="30"/>
    </row>
    <row r="672" ht="39.75" customHeight="1">
      <c r="A672" s="30"/>
      <c r="B672" s="31"/>
      <c r="C672" s="30"/>
      <c r="D672" s="30"/>
      <c r="E672" s="30"/>
      <c r="F672" s="30"/>
      <c r="G672" s="30"/>
      <c r="H672" s="30"/>
      <c r="I672" s="32"/>
      <c r="J672" s="30"/>
      <c r="K672" s="30"/>
      <c r="L672" s="30"/>
      <c r="M672" s="30"/>
      <c r="N672" s="30"/>
      <c r="O672" s="30"/>
      <c r="P672" s="30"/>
      <c r="Q672" s="30"/>
      <c r="R672" s="30"/>
      <c r="S672" s="30"/>
      <c r="T672" s="30"/>
      <c r="U672" s="30"/>
      <c r="V672" s="30"/>
      <c r="W672" s="30"/>
      <c r="X672" s="30"/>
      <c r="Y672" s="30"/>
      <c r="Z672" s="30"/>
      <c r="AA672" s="30"/>
      <c r="AB672" s="30"/>
      <c r="AC672" s="30"/>
    </row>
    <row r="673" ht="39.75" customHeight="1">
      <c r="A673" s="30"/>
      <c r="B673" s="31"/>
      <c r="C673" s="30"/>
      <c r="D673" s="30"/>
      <c r="E673" s="30"/>
      <c r="F673" s="30"/>
      <c r="G673" s="30"/>
      <c r="H673" s="30"/>
      <c r="I673" s="32"/>
      <c r="J673" s="30"/>
      <c r="K673" s="30"/>
      <c r="L673" s="30"/>
      <c r="M673" s="30"/>
      <c r="N673" s="30"/>
      <c r="O673" s="30"/>
      <c r="P673" s="30"/>
      <c r="Q673" s="30"/>
      <c r="R673" s="30"/>
      <c r="S673" s="30"/>
      <c r="T673" s="30"/>
      <c r="U673" s="30"/>
      <c r="V673" s="30"/>
      <c r="W673" s="30"/>
      <c r="X673" s="30"/>
      <c r="Y673" s="30"/>
      <c r="Z673" s="30"/>
      <c r="AA673" s="30"/>
      <c r="AB673" s="30"/>
      <c r="AC673" s="30"/>
    </row>
    <row r="674" ht="39.75" customHeight="1">
      <c r="A674" s="30"/>
      <c r="B674" s="31"/>
      <c r="C674" s="30"/>
      <c r="D674" s="30"/>
      <c r="E674" s="30"/>
      <c r="F674" s="30"/>
      <c r="G674" s="30"/>
      <c r="H674" s="30"/>
      <c r="I674" s="32"/>
      <c r="J674" s="30"/>
      <c r="K674" s="30"/>
      <c r="L674" s="30"/>
      <c r="M674" s="30"/>
      <c r="N674" s="30"/>
      <c r="O674" s="30"/>
      <c r="P674" s="30"/>
      <c r="Q674" s="30"/>
      <c r="R674" s="30"/>
      <c r="S674" s="30"/>
      <c r="T674" s="30"/>
      <c r="U674" s="30"/>
      <c r="V674" s="30"/>
      <c r="W674" s="30"/>
      <c r="X674" s="30"/>
      <c r="Y674" s="30"/>
      <c r="Z674" s="30"/>
      <c r="AA674" s="30"/>
      <c r="AB674" s="30"/>
      <c r="AC674" s="30"/>
    </row>
    <row r="675" ht="39.75" customHeight="1">
      <c r="A675" s="30"/>
      <c r="B675" s="31"/>
      <c r="C675" s="30"/>
      <c r="D675" s="30"/>
      <c r="E675" s="30"/>
      <c r="F675" s="30"/>
      <c r="G675" s="30"/>
      <c r="H675" s="30"/>
      <c r="I675" s="32"/>
      <c r="J675" s="30"/>
      <c r="K675" s="30"/>
      <c r="L675" s="30"/>
      <c r="M675" s="30"/>
      <c r="N675" s="30"/>
      <c r="O675" s="30"/>
      <c r="P675" s="30"/>
      <c r="Q675" s="30"/>
      <c r="R675" s="30"/>
      <c r="S675" s="30"/>
      <c r="T675" s="30"/>
      <c r="U675" s="30"/>
      <c r="V675" s="30"/>
      <c r="W675" s="30"/>
      <c r="X675" s="30"/>
      <c r="Y675" s="30"/>
      <c r="Z675" s="30"/>
      <c r="AA675" s="30"/>
      <c r="AB675" s="30"/>
      <c r="AC675" s="30"/>
    </row>
    <row r="676" ht="39.75" customHeight="1">
      <c r="A676" s="30"/>
      <c r="B676" s="31"/>
      <c r="C676" s="30"/>
      <c r="D676" s="30"/>
      <c r="E676" s="30"/>
      <c r="F676" s="30"/>
      <c r="G676" s="30"/>
      <c r="H676" s="30"/>
      <c r="I676" s="32"/>
      <c r="J676" s="30"/>
      <c r="K676" s="30"/>
      <c r="L676" s="30"/>
      <c r="M676" s="30"/>
      <c r="N676" s="30"/>
      <c r="O676" s="30"/>
      <c r="P676" s="30"/>
      <c r="Q676" s="30"/>
      <c r="R676" s="30"/>
      <c r="S676" s="30"/>
      <c r="T676" s="30"/>
      <c r="U676" s="30"/>
      <c r="V676" s="30"/>
      <c r="W676" s="30"/>
      <c r="X676" s="30"/>
      <c r="Y676" s="30"/>
      <c r="Z676" s="30"/>
      <c r="AA676" s="30"/>
      <c r="AB676" s="30"/>
      <c r="AC676" s="30"/>
    </row>
    <row r="677" ht="39.75" customHeight="1">
      <c r="A677" s="30"/>
      <c r="B677" s="31"/>
      <c r="C677" s="30"/>
      <c r="D677" s="30"/>
      <c r="E677" s="30"/>
      <c r="F677" s="30"/>
      <c r="G677" s="30"/>
      <c r="H677" s="30"/>
      <c r="I677" s="32"/>
      <c r="J677" s="30"/>
      <c r="K677" s="30"/>
      <c r="L677" s="30"/>
      <c r="M677" s="30"/>
      <c r="N677" s="30"/>
      <c r="O677" s="30"/>
      <c r="P677" s="30"/>
      <c r="Q677" s="30"/>
      <c r="R677" s="30"/>
      <c r="S677" s="30"/>
      <c r="T677" s="30"/>
      <c r="U677" s="30"/>
      <c r="V677" s="30"/>
      <c r="W677" s="30"/>
      <c r="X677" s="30"/>
      <c r="Y677" s="30"/>
      <c r="Z677" s="30"/>
      <c r="AA677" s="30"/>
      <c r="AB677" s="30"/>
      <c r="AC677" s="30"/>
    </row>
    <row r="678" ht="39.75" customHeight="1">
      <c r="A678" s="30"/>
      <c r="B678" s="31"/>
      <c r="C678" s="30"/>
      <c r="D678" s="30"/>
      <c r="E678" s="30"/>
      <c r="F678" s="30"/>
      <c r="G678" s="30"/>
      <c r="H678" s="30"/>
      <c r="I678" s="32"/>
      <c r="J678" s="30"/>
      <c r="K678" s="30"/>
      <c r="L678" s="30"/>
      <c r="M678" s="30"/>
      <c r="N678" s="30"/>
      <c r="O678" s="30"/>
      <c r="P678" s="30"/>
      <c r="Q678" s="30"/>
      <c r="R678" s="30"/>
      <c r="S678" s="30"/>
      <c r="T678" s="30"/>
      <c r="U678" s="30"/>
      <c r="V678" s="30"/>
      <c r="W678" s="30"/>
      <c r="X678" s="30"/>
      <c r="Y678" s="30"/>
      <c r="Z678" s="30"/>
      <c r="AA678" s="30"/>
      <c r="AB678" s="30"/>
      <c r="AC678" s="30"/>
    </row>
    <row r="679" ht="39.75" customHeight="1">
      <c r="A679" s="30"/>
      <c r="B679" s="31"/>
      <c r="C679" s="30"/>
      <c r="D679" s="30"/>
      <c r="E679" s="30"/>
      <c r="F679" s="30"/>
      <c r="G679" s="30"/>
      <c r="H679" s="30"/>
      <c r="I679" s="32"/>
      <c r="J679" s="30"/>
      <c r="K679" s="30"/>
      <c r="L679" s="30"/>
      <c r="M679" s="30"/>
      <c r="N679" s="30"/>
      <c r="O679" s="30"/>
      <c r="P679" s="30"/>
      <c r="Q679" s="30"/>
      <c r="R679" s="30"/>
      <c r="S679" s="30"/>
      <c r="T679" s="30"/>
      <c r="U679" s="30"/>
      <c r="V679" s="30"/>
      <c r="W679" s="30"/>
      <c r="X679" s="30"/>
      <c r="Y679" s="30"/>
      <c r="Z679" s="30"/>
      <c r="AA679" s="30"/>
      <c r="AB679" s="30"/>
      <c r="AC679" s="30"/>
    </row>
    <row r="680" ht="39.75" customHeight="1">
      <c r="A680" s="30"/>
      <c r="B680" s="31"/>
      <c r="C680" s="30"/>
      <c r="D680" s="30"/>
      <c r="E680" s="30"/>
      <c r="F680" s="30"/>
      <c r="G680" s="30"/>
      <c r="H680" s="30"/>
      <c r="I680" s="32"/>
      <c r="J680" s="30"/>
      <c r="K680" s="30"/>
      <c r="L680" s="30"/>
      <c r="M680" s="30"/>
      <c r="N680" s="30"/>
      <c r="O680" s="30"/>
      <c r="P680" s="30"/>
      <c r="Q680" s="30"/>
      <c r="R680" s="30"/>
      <c r="S680" s="30"/>
      <c r="T680" s="30"/>
      <c r="U680" s="30"/>
      <c r="V680" s="30"/>
      <c r="W680" s="30"/>
      <c r="X680" s="30"/>
      <c r="Y680" s="30"/>
      <c r="Z680" s="30"/>
      <c r="AA680" s="30"/>
      <c r="AB680" s="30"/>
      <c r="AC680" s="30"/>
    </row>
    <row r="681" ht="39.75" customHeight="1">
      <c r="A681" s="30"/>
      <c r="B681" s="31"/>
      <c r="C681" s="30"/>
      <c r="D681" s="30"/>
      <c r="E681" s="30"/>
      <c r="F681" s="30"/>
      <c r="G681" s="30"/>
      <c r="H681" s="30"/>
      <c r="I681" s="32"/>
      <c r="J681" s="30"/>
      <c r="K681" s="30"/>
      <c r="L681" s="30"/>
      <c r="M681" s="30"/>
      <c r="N681" s="30"/>
      <c r="O681" s="30"/>
      <c r="P681" s="30"/>
      <c r="Q681" s="30"/>
      <c r="R681" s="30"/>
      <c r="S681" s="30"/>
      <c r="T681" s="30"/>
      <c r="U681" s="30"/>
      <c r="V681" s="30"/>
      <c r="W681" s="30"/>
      <c r="X681" s="30"/>
      <c r="Y681" s="30"/>
      <c r="Z681" s="30"/>
      <c r="AA681" s="30"/>
      <c r="AB681" s="30"/>
      <c r="AC681" s="30"/>
    </row>
    <row r="682" ht="39.75" customHeight="1">
      <c r="A682" s="30"/>
      <c r="B682" s="31"/>
      <c r="C682" s="30"/>
      <c r="D682" s="30"/>
      <c r="E682" s="30"/>
      <c r="F682" s="30"/>
      <c r="G682" s="30"/>
      <c r="H682" s="30"/>
      <c r="I682" s="32"/>
      <c r="J682" s="30"/>
      <c r="K682" s="30"/>
      <c r="L682" s="30"/>
      <c r="M682" s="30"/>
      <c r="N682" s="30"/>
      <c r="O682" s="30"/>
      <c r="P682" s="30"/>
      <c r="Q682" s="30"/>
      <c r="R682" s="30"/>
      <c r="S682" s="30"/>
      <c r="T682" s="30"/>
      <c r="U682" s="30"/>
      <c r="V682" s="30"/>
      <c r="W682" s="30"/>
      <c r="X682" s="30"/>
      <c r="Y682" s="30"/>
      <c r="Z682" s="30"/>
      <c r="AA682" s="30"/>
      <c r="AB682" s="30"/>
      <c r="AC682" s="30"/>
    </row>
    <row r="683" ht="39.75" customHeight="1">
      <c r="A683" s="30"/>
      <c r="B683" s="31"/>
      <c r="C683" s="30"/>
      <c r="D683" s="30"/>
      <c r="E683" s="30"/>
      <c r="F683" s="30"/>
      <c r="G683" s="30"/>
      <c r="H683" s="30"/>
      <c r="I683" s="32"/>
      <c r="J683" s="30"/>
      <c r="K683" s="30"/>
      <c r="L683" s="30"/>
      <c r="M683" s="30"/>
      <c r="N683" s="30"/>
      <c r="O683" s="30"/>
      <c r="P683" s="30"/>
      <c r="Q683" s="30"/>
      <c r="R683" s="30"/>
      <c r="S683" s="30"/>
      <c r="T683" s="30"/>
      <c r="U683" s="30"/>
      <c r="V683" s="30"/>
      <c r="W683" s="30"/>
      <c r="X683" s="30"/>
      <c r="Y683" s="30"/>
      <c r="Z683" s="30"/>
      <c r="AA683" s="30"/>
      <c r="AB683" s="30"/>
      <c r="AC683" s="30"/>
    </row>
    <row r="684" ht="39.75" customHeight="1">
      <c r="A684" s="30"/>
      <c r="B684" s="31"/>
      <c r="C684" s="30"/>
      <c r="D684" s="30"/>
      <c r="E684" s="30"/>
      <c r="F684" s="30"/>
      <c r="G684" s="30"/>
      <c r="H684" s="30"/>
      <c r="I684" s="32"/>
      <c r="J684" s="30"/>
      <c r="K684" s="30"/>
      <c r="L684" s="30"/>
      <c r="M684" s="30"/>
      <c r="N684" s="30"/>
      <c r="O684" s="30"/>
      <c r="P684" s="30"/>
      <c r="Q684" s="30"/>
      <c r="R684" s="30"/>
      <c r="S684" s="30"/>
      <c r="T684" s="30"/>
      <c r="U684" s="30"/>
      <c r="V684" s="30"/>
      <c r="W684" s="30"/>
      <c r="X684" s="30"/>
      <c r="Y684" s="30"/>
      <c r="Z684" s="30"/>
      <c r="AA684" s="30"/>
      <c r="AB684" s="30"/>
      <c r="AC684" s="30"/>
    </row>
    <row r="685" ht="39.75" customHeight="1">
      <c r="A685" s="30"/>
      <c r="B685" s="31"/>
      <c r="C685" s="30"/>
      <c r="D685" s="30"/>
      <c r="E685" s="30"/>
      <c r="F685" s="30"/>
      <c r="G685" s="30"/>
      <c r="H685" s="30"/>
      <c r="I685" s="32"/>
      <c r="J685" s="30"/>
      <c r="K685" s="30"/>
      <c r="L685" s="30"/>
      <c r="M685" s="30"/>
      <c r="N685" s="30"/>
      <c r="O685" s="30"/>
      <c r="P685" s="30"/>
      <c r="Q685" s="30"/>
      <c r="R685" s="30"/>
      <c r="S685" s="30"/>
      <c r="T685" s="30"/>
      <c r="U685" s="30"/>
      <c r="V685" s="30"/>
      <c r="W685" s="30"/>
      <c r="X685" s="30"/>
      <c r="Y685" s="30"/>
      <c r="Z685" s="30"/>
      <c r="AA685" s="30"/>
      <c r="AB685" s="30"/>
      <c r="AC685" s="30"/>
    </row>
    <row r="686" ht="39.75" customHeight="1">
      <c r="A686" s="30"/>
      <c r="B686" s="31"/>
      <c r="C686" s="30"/>
      <c r="D686" s="30"/>
      <c r="E686" s="30"/>
      <c r="F686" s="30"/>
      <c r="G686" s="30"/>
      <c r="H686" s="30"/>
      <c r="I686" s="32"/>
      <c r="J686" s="30"/>
      <c r="K686" s="30"/>
      <c r="L686" s="30"/>
      <c r="M686" s="30"/>
      <c r="N686" s="30"/>
      <c r="O686" s="30"/>
      <c r="P686" s="30"/>
      <c r="Q686" s="30"/>
      <c r="R686" s="30"/>
      <c r="S686" s="30"/>
      <c r="T686" s="30"/>
      <c r="U686" s="30"/>
      <c r="V686" s="30"/>
      <c r="W686" s="30"/>
      <c r="X686" s="30"/>
      <c r="Y686" s="30"/>
      <c r="Z686" s="30"/>
      <c r="AA686" s="30"/>
      <c r="AB686" s="30"/>
      <c r="AC686" s="30"/>
    </row>
    <row r="687" ht="39.75" customHeight="1">
      <c r="A687" s="30"/>
      <c r="B687" s="31"/>
      <c r="C687" s="30"/>
      <c r="D687" s="30"/>
      <c r="E687" s="30"/>
      <c r="F687" s="30"/>
      <c r="G687" s="30"/>
      <c r="H687" s="30"/>
      <c r="I687" s="32"/>
      <c r="J687" s="30"/>
      <c r="K687" s="30"/>
      <c r="L687" s="30"/>
      <c r="M687" s="30"/>
      <c r="N687" s="30"/>
      <c r="O687" s="30"/>
      <c r="P687" s="30"/>
      <c r="Q687" s="30"/>
      <c r="R687" s="30"/>
      <c r="S687" s="30"/>
      <c r="T687" s="30"/>
      <c r="U687" s="30"/>
      <c r="V687" s="30"/>
      <c r="W687" s="30"/>
      <c r="X687" s="30"/>
      <c r="Y687" s="30"/>
      <c r="Z687" s="30"/>
      <c r="AA687" s="30"/>
      <c r="AB687" s="30"/>
      <c r="AC687" s="30"/>
    </row>
    <row r="688" ht="39.75" customHeight="1">
      <c r="A688" s="30"/>
      <c r="B688" s="31"/>
      <c r="C688" s="30"/>
      <c r="D688" s="30"/>
      <c r="E688" s="30"/>
      <c r="F688" s="30"/>
      <c r="G688" s="30"/>
      <c r="H688" s="30"/>
      <c r="I688" s="32"/>
      <c r="J688" s="30"/>
      <c r="K688" s="30"/>
      <c r="L688" s="30"/>
      <c r="M688" s="30"/>
      <c r="N688" s="30"/>
      <c r="O688" s="30"/>
      <c r="P688" s="30"/>
      <c r="Q688" s="30"/>
      <c r="R688" s="30"/>
      <c r="S688" s="30"/>
      <c r="T688" s="30"/>
      <c r="U688" s="30"/>
      <c r="V688" s="30"/>
      <c r="W688" s="30"/>
      <c r="X688" s="30"/>
      <c r="Y688" s="30"/>
      <c r="Z688" s="30"/>
      <c r="AA688" s="30"/>
      <c r="AB688" s="30"/>
      <c r="AC688" s="30"/>
    </row>
    <row r="689" ht="39.75" customHeight="1">
      <c r="A689" s="30"/>
      <c r="B689" s="31"/>
      <c r="C689" s="30"/>
      <c r="D689" s="30"/>
      <c r="E689" s="30"/>
      <c r="F689" s="30"/>
      <c r="G689" s="30"/>
      <c r="H689" s="30"/>
      <c r="I689" s="32"/>
      <c r="J689" s="30"/>
      <c r="K689" s="30"/>
      <c r="L689" s="30"/>
      <c r="M689" s="30"/>
      <c r="N689" s="30"/>
      <c r="O689" s="30"/>
      <c r="P689" s="30"/>
      <c r="Q689" s="30"/>
      <c r="R689" s="30"/>
      <c r="S689" s="30"/>
      <c r="T689" s="30"/>
      <c r="U689" s="30"/>
      <c r="V689" s="30"/>
      <c r="W689" s="30"/>
      <c r="X689" s="30"/>
      <c r="Y689" s="30"/>
      <c r="Z689" s="30"/>
      <c r="AA689" s="30"/>
      <c r="AB689" s="30"/>
      <c r="AC689" s="30"/>
    </row>
    <row r="690" ht="39.75" customHeight="1">
      <c r="A690" s="30"/>
      <c r="B690" s="31"/>
      <c r="C690" s="30"/>
      <c r="D690" s="30"/>
      <c r="E690" s="30"/>
      <c r="F690" s="30"/>
      <c r="G690" s="30"/>
      <c r="H690" s="30"/>
      <c r="I690" s="32"/>
      <c r="J690" s="30"/>
      <c r="K690" s="30"/>
      <c r="L690" s="30"/>
      <c r="M690" s="30"/>
      <c r="N690" s="30"/>
      <c r="O690" s="30"/>
      <c r="P690" s="30"/>
      <c r="Q690" s="30"/>
      <c r="R690" s="30"/>
      <c r="S690" s="30"/>
      <c r="T690" s="30"/>
      <c r="U690" s="30"/>
      <c r="V690" s="30"/>
      <c r="W690" s="30"/>
      <c r="X690" s="30"/>
      <c r="Y690" s="30"/>
      <c r="Z690" s="30"/>
      <c r="AA690" s="30"/>
      <c r="AB690" s="30"/>
      <c r="AC690" s="30"/>
    </row>
    <row r="691" ht="39.75" customHeight="1">
      <c r="A691" s="30"/>
      <c r="B691" s="31"/>
      <c r="C691" s="30"/>
      <c r="D691" s="30"/>
      <c r="E691" s="30"/>
      <c r="F691" s="30"/>
      <c r="G691" s="30"/>
      <c r="H691" s="30"/>
      <c r="I691" s="32"/>
      <c r="J691" s="30"/>
      <c r="K691" s="30"/>
      <c r="L691" s="30"/>
      <c r="M691" s="30"/>
      <c r="N691" s="30"/>
      <c r="O691" s="30"/>
      <c r="P691" s="30"/>
      <c r="Q691" s="30"/>
      <c r="R691" s="30"/>
      <c r="S691" s="30"/>
      <c r="T691" s="30"/>
      <c r="U691" s="30"/>
      <c r="V691" s="30"/>
      <c r="W691" s="30"/>
      <c r="X691" s="30"/>
      <c r="Y691" s="30"/>
      <c r="Z691" s="30"/>
      <c r="AA691" s="30"/>
      <c r="AB691" s="30"/>
      <c r="AC691" s="30"/>
    </row>
    <row r="692" ht="39.75" customHeight="1">
      <c r="A692" s="30"/>
      <c r="B692" s="31"/>
      <c r="C692" s="30"/>
      <c r="D692" s="30"/>
      <c r="E692" s="30"/>
      <c r="F692" s="30"/>
      <c r="G692" s="30"/>
      <c r="H692" s="30"/>
      <c r="I692" s="32"/>
      <c r="J692" s="30"/>
      <c r="K692" s="30"/>
      <c r="L692" s="30"/>
      <c r="M692" s="30"/>
      <c r="N692" s="30"/>
      <c r="O692" s="30"/>
      <c r="P692" s="30"/>
      <c r="Q692" s="30"/>
      <c r="R692" s="30"/>
      <c r="S692" s="30"/>
      <c r="T692" s="30"/>
      <c r="U692" s="30"/>
      <c r="V692" s="30"/>
      <c r="W692" s="30"/>
      <c r="X692" s="30"/>
      <c r="Y692" s="30"/>
      <c r="Z692" s="30"/>
      <c r="AA692" s="30"/>
      <c r="AB692" s="30"/>
      <c r="AC692" s="30"/>
    </row>
    <row r="693" ht="39.75" customHeight="1">
      <c r="A693" s="30"/>
      <c r="B693" s="31"/>
      <c r="C693" s="30"/>
      <c r="D693" s="30"/>
      <c r="E693" s="30"/>
      <c r="F693" s="30"/>
      <c r="G693" s="30"/>
      <c r="H693" s="30"/>
      <c r="I693" s="32"/>
      <c r="J693" s="30"/>
      <c r="K693" s="30"/>
      <c r="L693" s="30"/>
      <c r="M693" s="30"/>
      <c r="N693" s="30"/>
      <c r="O693" s="30"/>
      <c r="P693" s="30"/>
      <c r="Q693" s="30"/>
      <c r="R693" s="30"/>
      <c r="S693" s="30"/>
      <c r="T693" s="30"/>
      <c r="U693" s="30"/>
      <c r="V693" s="30"/>
      <c r="W693" s="30"/>
      <c r="X693" s="30"/>
      <c r="Y693" s="30"/>
      <c r="Z693" s="30"/>
      <c r="AA693" s="30"/>
      <c r="AB693" s="30"/>
      <c r="AC693" s="30"/>
    </row>
    <row r="694" ht="39.75" customHeight="1">
      <c r="A694" s="30"/>
      <c r="B694" s="31"/>
      <c r="C694" s="30"/>
      <c r="D694" s="30"/>
      <c r="E694" s="30"/>
      <c r="F694" s="30"/>
      <c r="G694" s="30"/>
      <c r="H694" s="30"/>
      <c r="I694" s="32"/>
      <c r="J694" s="30"/>
      <c r="K694" s="30"/>
      <c r="L694" s="30"/>
      <c r="M694" s="30"/>
      <c r="N694" s="30"/>
      <c r="O694" s="30"/>
      <c r="P694" s="30"/>
      <c r="Q694" s="30"/>
      <c r="R694" s="30"/>
      <c r="S694" s="30"/>
      <c r="T694" s="30"/>
      <c r="U694" s="30"/>
      <c r="V694" s="30"/>
      <c r="W694" s="30"/>
      <c r="X694" s="30"/>
      <c r="Y694" s="30"/>
      <c r="Z694" s="30"/>
      <c r="AA694" s="30"/>
      <c r="AB694" s="30"/>
      <c r="AC694" s="30"/>
    </row>
    <row r="695" ht="39.75" customHeight="1">
      <c r="A695" s="30"/>
      <c r="B695" s="31"/>
      <c r="C695" s="30"/>
      <c r="D695" s="30"/>
      <c r="E695" s="30"/>
      <c r="F695" s="30"/>
      <c r="G695" s="30"/>
      <c r="H695" s="30"/>
      <c r="I695" s="32"/>
      <c r="J695" s="30"/>
      <c r="K695" s="30"/>
      <c r="L695" s="30"/>
      <c r="M695" s="30"/>
      <c r="N695" s="30"/>
      <c r="O695" s="30"/>
      <c r="P695" s="30"/>
      <c r="Q695" s="30"/>
      <c r="R695" s="30"/>
      <c r="S695" s="30"/>
      <c r="T695" s="30"/>
      <c r="U695" s="30"/>
      <c r="V695" s="30"/>
      <c r="W695" s="30"/>
      <c r="X695" s="30"/>
      <c r="Y695" s="30"/>
      <c r="Z695" s="30"/>
      <c r="AA695" s="30"/>
      <c r="AB695" s="30"/>
      <c r="AC695" s="30"/>
    </row>
    <row r="696" ht="39.75" customHeight="1">
      <c r="A696" s="30"/>
      <c r="B696" s="31"/>
      <c r="C696" s="30"/>
      <c r="D696" s="30"/>
      <c r="E696" s="30"/>
      <c r="F696" s="30"/>
      <c r="G696" s="30"/>
      <c r="H696" s="30"/>
      <c r="I696" s="32"/>
      <c r="J696" s="30"/>
      <c r="K696" s="30"/>
      <c r="L696" s="30"/>
      <c r="M696" s="30"/>
      <c r="N696" s="30"/>
      <c r="O696" s="30"/>
      <c r="P696" s="30"/>
      <c r="Q696" s="30"/>
      <c r="R696" s="30"/>
      <c r="S696" s="30"/>
      <c r="T696" s="30"/>
      <c r="U696" s="30"/>
      <c r="V696" s="30"/>
      <c r="W696" s="30"/>
      <c r="X696" s="30"/>
      <c r="Y696" s="30"/>
      <c r="Z696" s="30"/>
      <c r="AA696" s="30"/>
      <c r="AB696" s="30"/>
      <c r="AC696" s="30"/>
    </row>
    <row r="697" ht="39.75" customHeight="1">
      <c r="A697" s="30"/>
      <c r="B697" s="31"/>
      <c r="C697" s="30"/>
      <c r="D697" s="30"/>
      <c r="E697" s="30"/>
      <c r="F697" s="30"/>
      <c r="G697" s="30"/>
      <c r="H697" s="30"/>
      <c r="I697" s="32"/>
      <c r="J697" s="30"/>
      <c r="K697" s="30"/>
      <c r="L697" s="30"/>
      <c r="M697" s="30"/>
      <c r="N697" s="30"/>
      <c r="O697" s="30"/>
      <c r="P697" s="30"/>
      <c r="Q697" s="30"/>
      <c r="R697" s="30"/>
      <c r="S697" s="30"/>
      <c r="T697" s="30"/>
      <c r="U697" s="30"/>
      <c r="V697" s="30"/>
      <c r="W697" s="30"/>
      <c r="X697" s="30"/>
      <c r="Y697" s="30"/>
      <c r="Z697" s="30"/>
      <c r="AA697" s="30"/>
      <c r="AB697" s="30"/>
      <c r="AC697" s="30"/>
    </row>
    <row r="698" ht="39.75" customHeight="1">
      <c r="A698" s="30"/>
      <c r="B698" s="31"/>
      <c r="C698" s="30"/>
      <c r="D698" s="30"/>
      <c r="E698" s="30"/>
      <c r="F698" s="30"/>
      <c r="G698" s="30"/>
      <c r="H698" s="30"/>
      <c r="I698" s="32"/>
      <c r="J698" s="30"/>
      <c r="K698" s="30"/>
      <c r="L698" s="30"/>
      <c r="M698" s="30"/>
      <c r="N698" s="30"/>
      <c r="O698" s="30"/>
      <c r="P698" s="30"/>
      <c r="Q698" s="30"/>
      <c r="R698" s="30"/>
      <c r="S698" s="30"/>
      <c r="T698" s="30"/>
      <c r="U698" s="30"/>
      <c r="V698" s="30"/>
      <c r="W698" s="30"/>
      <c r="X698" s="30"/>
      <c r="Y698" s="30"/>
      <c r="Z698" s="30"/>
      <c r="AA698" s="30"/>
      <c r="AB698" s="30"/>
      <c r="AC698" s="30"/>
    </row>
    <row r="699" ht="39.75" customHeight="1">
      <c r="A699" s="30"/>
      <c r="B699" s="31"/>
      <c r="C699" s="30"/>
      <c r="D699" s="30"/>
      <c r="E699" s="30"/>
      <c r="F699" s="30"/>
      <c r="G699" s="30"/>
      <c r="H699" s="30"/>
      <c r="I699" s="32"/>
      <c r="J699" s="30"/>
      <c r="K699" s="30"/>
      <c r="L699" s="30"/>
      <c r="M699" s="30"/>
      <c r="N699" s="30"/>
      <c r="O699" s="30"/>
      <c r="P699" s="30"/>
      <c r="Q699" s="30"/>
      <c r="R699" s="30"/>
      <c r="S699" s="30"/>
      <c r="T699" s="30"/>
      <c r="U699" s="30"/>
      <c r="V699" s="30"/>
      <c r="W699" s="30"/>
      <c r="X699" s="30"/>
      <c r="Y699" s="30"/>
      <c r="Z699" s="30"/>
      <c r="AA699" s="30"/>
      <c r="AB699" s="30"/>
      <c r="AC699" s="30"/>
    </row>
    <row r="700" ht="39.75" customHeight="1">
      <c r="A700" s="30"/>
      <c r="B700" s="31"/>
      <c r="C700" s="30"/>
      <c r="D700" s="30"/>
      <c r="E700" s="30"/>
      <c r="F700" s="30"/>
      <c r="G700" s="30"/>
      <c r="H700" s="30"/>
      <c r="I700" s="32"/>
      <c r="J700" s="30"/>
      <c r="K700" s="30"/>
      <c r="L700" s="30"/>
      <c r="M700" s="30"/>
      <c r="N700" s="30"/>
      <c r="O700" s="30"/>
      <c r="P700" s="30"/>
      <c r="Q700" s="30"/>
      <c r="R700" s="30"/>
      <c r="S700" s="30"/>
      <c r="T700" s="30"/>
      <c r="U700" s="30"/>
      <c r="V700" s="30"/>
      <c r="W700" s="30"/>
      <c r="X700" s="30"/>
      <c r="Y700" s="30"/>
      <c r="Z700" s="30"/>
      <c r="AA700" s="30"/>
      <c r="AB700" s="30"/>
      <c r="AC700" s="30"/>
    </row>
    <row r="701" ht="39.75" customHeight="1">
      <c r="A701" s="30"/>
      <c r="B701" s="31"/>
      <c r="C701" s="30"/>
      <c r="D701" s="30"/>
      <c r="E701" s="30"/>
      <c r="F701" s="30"/>
      <c r="G701" s="30"/>
      <c r="H701" s="30"/>
      <c r="I701" s="32"/>
      <c r="J701" s="30"/>
      <c r="K701" s="30"/>
      <c r="L701" s="30"/>
      <c r="M701" s="30"/>
      <c r="N701" s="30"/>
      <c r="O701" s="30"/>
      <c r="P701" s="30"/>
      <c r="Q701" s="30"/>
      <c r="R701" s="30"/>
      <c r="S701" s="30"/>
      <c r="T701" s="30"/>
      <c r="U701" s="30"/>
      <c r="V701" s="30"/>
      <c r="W701" s="30"/>
      <c r="X701" s="30"/>
      <c r="Y701" s="30"/>
      <c r="Z701" s="30"/>
      <c r="AA701" s="30"/>
      <c r="AB701" s="30"/>
      <c r="AC701" s="30"/>
    </row>
    <row r="702" ht="39.75" customHeight="1">
      <c r="A702" s="30"/>
      <c r="B702" s="31"/>
      <c r="C702" s="30"/>
      <c r="D702" s="30"/>
      <c r="E702" s="30"/>
      <c r="F702" s="30"/>
      <c r="G702" s="30"/>
      <c r="H702" s="30"/>
      <c r="I702" s="32"/>
      <c r="J702" s="30"/>
      <c r="K702" s="30"/>
      <c r="L702" s="30"/>
      <c r="M702" s="30"/>
      <c r="N702" s="30"/>
      <c r="O702" s="30"/>
      <c r="P702" s="30"/>
      <c r="Q702" s="30"/>
      <c r="R702" s="30"/>
      <c r="S702" s="30"/>
      <c r="T702" s="30"/>
      <c r="U702" s="30"/>
      <c r="V702" s="30"/>
      <c r="W702" s="30"/>
      <c r="X702" s="30"/>
      <c r="Y702" s="30"/>
      <c r="Z702" s="30"/>
      <c r="AA702" s="30"/>
      <c r="AB702" s="30"/>
      <c r="AC702" s="30"/>
    </row>
    <row r="703" ht="39.75" customHeight="1">
      <c r="A703" s="30"/>
      <c r="B703" s="31"/>
      <c r="C703" s="30"/>
      <c r="D703" s="30"/>
      <c r="E703" s="30"/>
      <c r="F703" s="30"/>
      <c r="G703" s="30"/>
      <c r="H703" s="30"/>
      <c r="I703" s="32"/>
      <c r="J703" s="30"/>
      <c r="K703" s="30"/>
      <c r="L703" s="30"/>
      <c r="M703" s="30"/>
      <c r="N703" s="30"/>
      <c r="O703" s="30"/>
      <c r="P703" s="30"/>
      <c r="Q703" s="30"/>
      <c r="R703" s="30"/>
      <c r="S703" s="30"/>
      <c r="T703" s="30"/>
      <c r="U703" s="30"/>
      <c r="V703" s="30"/>
      <c r="W703" s="30"/>
      <c r="X703" s="30"/>
      <c r="Y703" s="30"/>
      <c r="Z703" s="30"/>
      <c r="AA703" s="30"/>
      <c r="AB703" s="30"/>
      <c r="AC703" s="30"/>
    </row>
    <row r="704" ht="39.75" customHeight="1">
      <c r="A704" s="30"/>
      <c r="B704" s="31"/>
      <c r="C704" s="30"/>
      <c r="D704" s="30"/>
      <c r="E704" s="30"/>
      <c r="F704" s="30"/>
      <c r="G704" s="30"/>
      <c r="H704" s="30"/>
      <c r="I704" s="32"/>
      <c r="J704" s="30"/>
      <c r="K704" s="30"/>
      <c r="L704" s="30"/>
      <c r="M704" s="30"/>
      <c r="N704" s="30"/>
      <c r="O704" s="30"/>
      <c r="P704" s="30"/>
      <c r="Q704" s="30"/>
      <c r="R704" s="30"/>
      <c r="S704" s="30"/>
      <c r="T704" s="30"/>
      <c r="U704" s="30"/>
      <c r="V704" s="30"/>
      <c r="W704" s="30"/>
      <c r="X704" s="30"/>
      <c r="Y704" s="30"/>
      <c r="Z704" s="30"/>
      <c r="AA704" s="30"/>
      <c r="AB704" s="30"/>
      <c r="AC704" s="30"/>
    </row>
    <row r="705" ht="39.75" customHeight="1">
      <c r="A705" s="30"/>
      <c r="B705" s="31"/>
      <c r="C705" s="30"/>
      <c r="D705" s="30"/>
      <c r="E705" s="30"/>
      <c r="F705" s="30"/>
      <c r="G705" s="30"/>
      <c r="H705" s="30"/>
      <c r="I705" s="32"/>
      <c r="J705" s="30"/>
      <c r="K705" s="30"/>
      <c r="L705" s="30"/>
      <c r="M705" s="30"/>
      <c r="N705" s="30"/>
      <c r="O705" s="30"/>
      <c r="P705" s="30"/>
      <c r="Q705" s="30"/>
      <c r="R705" s="30"/>
      <c r="S705" s="30"/>
      <c r="T705" s="30"/>
      <c r="U705" s="30"/>
      <c r="V705" s="30"/>
      <c r="W705" s="30"/>
      <c r="X705" s="30"/>
      <c r="Y705" s="30"/>
      <c r="Z705" s="30"/>
      <c r="AA705" s="30"/>
      <c r="AB705" s="30"/>
      <c r="AC705" s="30"/>
    </row>
    <row r="706" ht="39.75" customHeight="1">
      <c r="A706" s="30"/>
      <c r="B706" s="31"/>
      <c r="C706" s="30"/>
      <c r="D706" s="30"/>
      <c r="E706" s="30"/>
      <c r="F706" s="30"/>
      <c r="G706" s="30"/>
      <c r="H706" s="30"/>
      <c r="I706" s="32"/>
      <c r="J706" s="30"/>
      <c r="K706" s="30"/>
      <c r="L706" s="30"/>
      <c r="M706" s="30"/>
      <c r="N706" s="30"/>
      <c r="O706" s="30"/>
      <c r="P706" s="30"/>
      <c r="Q706" s="30"/>
      <c r="R706" s="30"/>
      <c r="S706" s="30"/>
      <c r="T706" s="30"/>
      <c r="U706" s="30"/>
      <c r="V706" s="30"/>
      <c r="W706" s="30"/>
      <c r="X706" s="30"/>
      <c r="Y706" s="30"/>
      <c r="Z706" s="30"/>
      <c r="AA706" s="30"/>
      <c r="AB706" s="30"/>
      <c r="AC706" s="30"/>
    </row>
    <row r="707" ht="39.75" customHeight="1">
      <c r="A707" s="30"/>
      <c r="B707" s="31"/>
      <c r="C707" s="30"/>
      <c r="D707" s="30"/>
      <c r="E707" s="30"/>
      <c r="F707" s="30"/>
      <c r="G707" s="30"/>
      <c r="H707" s="30"/>
      <c r="I707" s="32"/>
      <c r="J707" s="30"/>
      <c r="K707" s="30"/>
      <c r="L707" s="30"/>
      <c r="M707" s="30"/>
      <c r="N707" s="30"/>
      <c r="O707" s="30"/>
      <c r="P707" s="30"/>
      <c r="Q707" s="30"/>
      <c r="R707" s="30"/>
      <c r="S707" s="30"/>
      <c r="T707" s="30"/>
      <c r="U707" s="30"/>
      <c r="V707" s="30"/>
      <c r="W707" s="30"/>
      <c r="X707" s="30"/>
      <c r="Y707" s="30"/>
      <c r="Z707" s="30"/>
      <c r="AA707" s="30"/>
      <c r="AB707" s="30"/>
      <c r="AC707" s="30"/>
    </row>
    <row r="708" ht="39.75" customHeight="1">
      <c r="A708" s="30"/>
      <c r="B708" s="31"/>
      <c r="C708" s="30"/>
      <c r="D708" s="30"/>
      <c r="E708" s="30"/>
      <c r="F708" s="30"/>
      <c r="G708" s="30"/>
      <c r="H708" s="30"/>
      <c r="I708" s="32"/>
      <c r="J708" s="30"/>
      <c r="K708" s="30"/>
      <c r="L708" s="30"/>
      <c r="M708" s="30"/>
      <c r="N708" s="30"/>
      <c r="O708" s="30"/>
      <c r="P708" s="30"/>
      <c r="Q708" s="30"/>
      <c r="R708" s="30"/>
      <c r="S708" s="30"/>
      <c r="T708" s="30"/>
      <c r="U708" s="30"/>
      <c r="V708" s="30"/>
      <c r="W708" s="30"/>
      <c r="X708" s="30"/>
      <c r="Y708" s="30"/>
      <c r="Z708" s="30"/>
      <c r="AA708" s="30"/>
      <c r="AB708" s="30"/>
      <c r="AC708" s="30"/>
    </row>
    <row r="709" ht="39.75" customHeight="1">
      <c r="A709" s="30"/>
      <c r="B709" s="31"/>
      <c r="C709" s="30"/>
      <c r="D709" s="30"/>
      <c r="E709" s="30"/>
      <c r="F709" s="30"/>
      <c r="G709" s="30"/>
      <c r="H709" s="30"/>
      <c r="I709" s="32"/>
      <c r="J709" s="30"/>
      <c r="K709" s="30"/>
      <c r="L709" s="30"/>
      <c r="M709" s="30"/>
      <c r="N709" s="30"/>
      <c r="O709" s="30"/>
      <c r="P709" s="30"/>
      <c r="Q709" s="30"/>
      <c r="R709" s="30"/>
      <c r="S709" s="30"/>
      <c r="T709" s="30"/>
      <c r="U709" s="30"/>
      <c r="V709" s="30"/>
      <c r="W709" s="30"/>
      <c r="X709" s="30"/>
      <c r="Y709" s="30"/>
      <c r="Z709" s="30"/>
      <c r="AA709" s="30"/>
      <c r="AB709" s="30"/>
      <c r="AC709" s="30"/>
    </row>
    <row r="710" ht="39.75" customHeight="1">
      <c r="A710" s="30"/>
      <c r="B710" s="31"/>
      <c r="C710" s="30"/>
      <c r="D710" s="30"/>
      <c r="E710" s="30"/>
      <c r="F710" s="30"/>
      <c r="G710" s="30"/>
      <c r="H710" s="30"/>
      <c r="I710" s="32"/>
      <c r="J710" s="30"/>
      <c r="K710" s="30"/>
      <c r="L710" s="30"/>
      <c r="M710" s="30"/>
      <c r="N710" s="30"/>
      <c r="O710" s="30"/>
      <c r="P710" s="30"/>
      <c r="Q710" s="30"/>
      <c r="R710" s="30"/>
      <c r="S710" s="30"/>
      <c r="T710" s="30"/>
      <c r="U710" s="30"/>
      <c r="V710" s="30"/>
      <c r="W710" s="30"/>
      <c r="X710" s="30"/>
      <c r="Y710" s="30"/>
      <c r="Z710" s="30"/>
      <c r="AA710" s="30"/>
      <c r="AB710" s="30"/>
      <c r="AC710" s="30"/>
    </row>
    <row r="711" ht="39.75" customHeight="1">
      <c r="A711" s="30"/>
      <c r="B711" s="31"/>
      <c r="C711" s="30"/>
      <c r="D711" s="30"/>
      <c r="E711" s="30"/>
      <c r="F711" s="30"/>
      <c r="G711" s="30"/>
      <c r="H711" s="30"/>
      <c r="I711" s="32"/>
      <c r="J711" s="30"/>
      <c r="K711" s="30"/>
      <c r="L711" s="30"/>
      <c r="M711" s="30"/>
      <c r="N711" s="30"/>
      <c r="O711" s="30"/>
      <c r="P711" s="30"/>
      <c r="Q711" s="30"/>
      <c r="R711" s="30"/>
      <c r="S711" s="30"/>
      <c r="T711" s="30"/>
      <c r="U711" s="30"/>
      <c r="V711" s="30"/>
      <c r="W711" s="30"/>
      <c r="X711" s="30"/>
      <c r="Y711" s="30"/>
      <c r="Z711" s="30"/>
      <c r="AA711" s="30"/>
      <c r="AB711" s="30"/>
      <c r="AC711" s="30"/>
    </row>
    <row r="712" ht="39.75" customHeight="1">
      <c r="A712" s="30"/>
      <c r="B712" s="31"/>
      <c r="C712" s="30"/>
      <c r="D712" s="30"/>
      <c r="E712" s="30"/>
      <c r="F712" s="30"/>
      <c r="G712" s="30"/>
      <c r="H712" s="30"/>
      <c r="I712" s="32"/>
      <c r="J712" s="30"/>
      <c r="K712" s="30"/>
      <c r="L712" s="30"/>
      <c r="M712" s="30"/>
      <c r="N712" s="30"/>
      <c r="O712" s="30"/>
      <c r="P712" s="30"/>
      <c r="Q712" s="30"/>
      <c r="R712" s="30"/>
      <c r="S712" s="30"/>
      <c r="T712" s="30"/>
      <c r="U712" s="30"/>
      <c r="V712" s="30"/>
      <c r="W712" s="30"/>
      <c r="X712" s="30"/>
      <c r="Y712" s="30"/>
      <c r="Z712" s="30"/>
      <c r="AA712" s="30"/>
      <c r="AB712" s="30"/>
      <c r="AC712" s="30"/>
    </row>
    <row r="713" ht="39.75" customHeight="1">
      <c r="A713" s="30"/>
      <c r="B713" s="31"/>
      <c r="C713" s="30"/>
      <c r="D713" s="30"/>
      <c r="E713" s="30"/>
      <c r="F713" s="30"/>
      <c r="G713" s="30"/>
      <c r="H713" s="30"/>
      <c r="I713" s="32"/>
      <c r="J713" s="30"/>
      <c r="K713" s="30"/>
      <c r="L713" s="30"/>
      <c r="M713" s="30"/>
      <c r="N713" s="30"/>
      <c r="O713" s="30"/>
      <c r="P713" s="30"/>
      <c r="Q713" s="30"/>
      <c r="R713" s="30"/>
      <c r="S713" s="30"/>
      <c r="T713" s="30"/>
      <c r="U713" s="30"/>
      <c r="V713" s="30"/>
      <c r="W713" s="30"/>
      <c r="X713" s="30"/>
      <c r="Y713" s="30"/>
      <c r="Z713" s="30"/>
      <c r="AA713" s="30"/>
      <c r="AB713" s="30"/>
      <c r="AC713" s="30"/>
    </row>
    <row r="714" ht="39.75" customHeight="1">
      <c r="A714" s="30"/>
      <c r="B714" s="31"/>
      <c r="C714" s="30"/>
      <c r="D714" s="30"/>
      <c r="E714" s="30"/>
      <c r="F714" s="30"/>
      <c r="G714" s="30"/>
      <c r="H714" s="30"/>
      <c r="I714" s="32"/>
      <c r="J714" s="30"/>
      <c r="K714" s="30"/>
      <c r="L714" s="30"/>
      <c r="M714" s="30"/>
      <c r="N714" s="30"/>
      <c r="O714" s="30"/>
      <c r="P714" s="30"/>
      <c r="Q714" s="30"/>
      <c r="R714" s="30"/>
      <c r="S714" s="30"/>
      <c r="T714" s="30"/>
      <c r="U714" s="30"/>
      <c r="V714" s="30"/>
      <c r="W714" s="30"/>
      <c r="X714" s="30"/>
      <c r="Y714" s="30"/>
      <c r="Z714" s="30"/>
      <c r="AA714" s="30"/>
      <c r="AB714" s="30"/>
      <c r="AC714" s="30"/>
    </row>
    <row r="715" ht="39.75" customHeight="1">
      <c r="A715" s="30"/>
      <c r="B715" s="31"/>
      <c r="C715" s="30"/>
      <c r="D715" s="30"/>
      <c r="E715" s="30"/>
      <c r="F715" s="30"/>
      <c r="G715" s="30"/>
      <c r="H715" s="30"/>
      <c r="I715" s="32"/>
      <c r="J715" s="30"/>
      <c r="K715" s="30"/>
      <c r="L715" s="30"/>
      <c r="M715" s="30"/>
      <c r="N715" s="30"/>
      <c r="O715" s="30"/>
      <c r="P715" s="30"/>
      <c r="Q715" s="30"/>
      <c r="R715" s="30"/>
      <c r="S715" s="30"/>
      <c r="T715" s="30"/>
      <c r="U715" s="30"/>
      <c r="V715" s="30"/>
      <c r="W715" s="30"/>
      <c r="X715" s="30"/>
      <c r="Y715" s="30"/>
      <c r="Z715" s="30"/>
      <c r="AA715" s="30"/>
      <c r="AB715" s="30"/>
      <c r="AC715" s="30"/>
    </row>
    <row r="716" ht="39.75" customHeight="1">
      <c r="A716" s="30"/>
      <c r="B716" s="31"/>
      <c r="C716" s="30"/>
      <c r="D716" s="30"/>
      <c r="E716" s="30"/>
      <c r="F716" s="30"/>
      <c r="G716" s="30"/>
      <c r="H716" s="30"/>
      <c r="I716" s="32"/>
      <c r="J716" s="30"/>
      <c r="K716" s="30"/>
      <c r="L716" s="30"/>
      <c r="M716" s="30"/>
      <c r="N716" s="30"/>
      <c r="O716" s="30"/>
      <c r="P716" s="30"/>
      <c r="Q716" s="30"/>
      <c r="R716" s="30"/>
      <c r="S716" s="30"/>
      <c r="T716" s="30"/>
      <c r="U716" s="30"/>
      <c r="V716" s="30"/>
      <c r="W716" s="30"/>
      <c r="X716" s="30"/>
      <c r="Y716" s="30"/>
      <c r="Z716" s="30"/>
      <c r="AA716" s="30"/>
      <c r="AB716" s="30"/>
      <c r="AC716" s="30"/>
    </row>
    <row r="717" ht="39.75" customHeight="1">
      <c r="A717" s="30"/>
      <c r="B717" s="31"/>
      <c r="C717" s="30"/>
      <c r="D717" s="30"/>
      <c r="E717" s="30"/>
      <c r="F717" s="30"/>
      <c r="G717" s="30"/>
      <c r="H717" s="30"/>
      <c r="I717" s="32"/>
      <c r="J717" s="30"/>
      <c r="K717" s="30"/>
      <c r="L717" s="30"/>
      <c r="M717" s="30"/>
      <c r="N717" s="30"/>
      <c r="O717" s="30"/>
      <c r="P717" s="30"/>
      <c r="Q717" s="30"/>
      <c r="R717" s="30"/>
      <c r="S717" s="30"/>
      <c r="T717" s="30"/>
      <c r="U717" s="30"/>
      <c r="V717" s="30"/>
      <c r="W717" s="30"/>
      <c r="X717" s="30"/>
      <c r="Y717" s="30"/>
      <c r="Z717" s="30"/>
      <c r="AA717" s="30"/>
      <c r="AB717" s="30"/>
      <c r="AC717" s="30"/>
    </row>
    <row r="718" ht="39.75" customHeight="1">
      <c r="A718" s="30"/>
      <c r="B718" s="31"/>
      <c r="C718" s="30"/>
      <c r="D718" s="30"/>
      <c r="E718" s="30"/>
      <c r="F718" s="30"/>
      <c r="G718" s="30"/>
      <c r="H718" s="30"/>
      <c r="I718" s="32"/>
      <c r="J718" s="30"/>
      <c r="K718" s="30"/>
      <c r="L718" s="30"/>
      <c r="M718" s="30"/>
      <c r="N718" s="30"/>
      <c r="O718" s="30"/>
      <c r="P718" s="30"/>
      <c r="Q718" s="30"/>
      <c r="R718" s="30"/>
      <c r="S718" s="30"/>
      <c r="T718" s="30"/>
      <c r="U718" s="30"/>
      <c r="V718" s="30"/>
      <c r="W718" s="30"/>
      <c r="X718" s="30"/>
      <c r="Y718" s="30"/>
      <c r="Z718" s="30"/>
      <c r="AA718" s="30"/>
      <c r="AB718" s="30"/>
      <c r="AC718" s="30"/>
    </row>
    <row r="719" ht="39.75" customHeight="1">
      <c r="A719" s="30"/>
      <c r="B719" s="31"/>
      <c r="C719" s="30"/>
      <c r="D719" s="30"/>
      <c r="E719" s="30"/>
      <c r="F719" s="30"/>
      <c r="G719" s="30"/>
      <c r="H719" s="30"/>
      <c r="I719" s="32"/>
      <c r="J719" s="30"/>
      <c r="K719" s="30"/>
      <c r="L719" s="30"/>
      <c r="M719" s="30"/>
      <c r="N719" s="30"/>
      <c r="O719" s="30"/>
      <c r="P719" s="30"/>
      <c r="Q719" s="30"/>
      <c r="R719" s="30"/>
      <c r="S719" s="30"/>
      <c r="T719" s="30"/>
      <c r="U719" s="30"/>
      <c r="V719" s="30"/>
      <c r="W719" s="30"/>
      <c r="X719" s="30"/>
      <c r="Y719" s="30"/>
      <c r="Z719" s="30"/>
      <c r="AA719" s="30"/>
      <c r="AB719" s="30"/>
      <c r="AC719" s="30"/>
    </row>
    <row r="720" ht="39.75" customHeight="1">
      <c r="A720" s="30"/>
      <c r="B720" s="31"/>
      <c r="C720" s="30"/>
      <c r="D720" s="30"/>
      <c r="E720" s="30"/>
      <c r="F720" s="30"/>
      <c r="G720" s="30"/>
      <c r="H720" s="30"/>
      <c r="I720" s="32"/>
      <c r="J720" s="30"/>
      <c r="K720" s="30"/>
      <c r="L720" s="30"/>
      <c r="M720" s="30"/>
      <c r="N720" s="30"/>
      <c r="O720" s="30"/>
      <c r="P720" s="30"/>
      <c r="Q720" s="30"/>
      <c r="R720" s="30"/>
      <c r="S720" s="30"/>
      <c r="T720" s="30"/>
      <c r="U720" s="30"/>
      <c r="V720" s="30"/>
      <c r="W720" s="30"/>
      <c r="X720" s="30"/>
      <c r="Y720" s="30"/>
      <c r="Z720" s="30"/>
      <c r="AA720" s="30"/>
      <c r="AB720" s="30"/>
      <c r="AC720" s="30"/>
    </row>
    <row r="721" ht="39.75" customHeight="1">
      <c r="A721" s="30"/>
      <c r="B721" s="31"/>
      <c r="C721" s="30"/>
      <c r="D721" s="30"/>
      <c r="E721" s="30"/>
      <c r="F721" s="30"/>
      <c r="G721" s="30"/>
      <c r="H721" s="30"/>
      <c r="I721" s="32"/>
      <c r="J721" s="30"/>
      <c r="K721" s="30"/>
      <c r="L721" s="30"/>
      <c r="M721" s="30"/>
      <c r="N721" s="30"/>
      <c r="O721" s="30"/>
      <c r="P721" s="30"/>
      <c r="Q721" s="30"/>
      <c r="R721" s="30"/>
      <c r="S721" s="30"/>
      <c r="T721" s="30"/>
      <c r="U721" s="30"/>
      <c r="V721" s="30"/>
      <c r="W721" s="30"/>
      <c r="X721" s="30"/>
      <c r="Y721" s="30"/>
      <c r="Z721" s="30"/>
      <c r="AA721" s="30"/>
      <c r="AB721" s="30"/>
      <c r="AC721" s="30"/>
    </row>
    <row r="722" ht="39.75" customHeight="1">
      <c r="A722" s="30"/>
      <c r="B722" s="31"/>
      <c r="C722" s="30"/>
      <c r="D722" s="30"/>
      <c r="E722" s="30"/>
      <c r="F722" s="30"/>
      <c r="G722" s="30"/>
      <c r="H722" s="30"/>
      <c r="I722" s="32"/>
      <c r="J722" s="30"/>
      <c r="K722" s="30"/>
      <c r="L722" s="30"/>
      <c r="M722" s="30"/>
      <c r="N722" s="30"/>
      <c r="O722" s="30"/>
      <c r="P722" s="30"/>
      <c r="Q722" s="30"/>
      <c r="R722" s="30"/>
      <c r="S722" s="30"/>
      <c r="T722" s="30"/>
      <c r="U722" s="30"/>
      <c r="V722" s="30"/>
      <c r="W722" s="30"/>
      <c r="X722" s="30"/>
      <c r="Y722" s="30"/>
      <c r="Z722" s="30"/>
      <c r="AA722" s="30"/>
      <c r="AB722" s="30"/>
      <c r="AC722" s="30"/>
    </row>
    <row r="723" ht="39.75" customHeight="1">
      <c r="A723" s="30"/>
      <c r="B723" s="31"/>
      <c r="C723" s="30"/>
      <c r="D723" s="30"/>
      <c r="E723" s="30"/>
      <c r="F723" s="30"/>
      <c r="G723" s="30"/>
      <c r="H723" s="30"/>
      <c r="I723" s="32"/>
      <c r="J723" s="30"/>
      <c r="K723" s="30"/>
      <c r="L723" s="30"/>
      <c r="M723" s="30"/>
      <c r="N723" s="30"/>
      <c r="O723" s="30"/>
      <c r="P723" s="30"/>
      <c r="Q723" s="30"/>
      <c r="R723" s="30"/>
      <c r="S723" s="30"/>
      <c r="T723" s="30"/>
      <c r="U723" s="30"/>
      <c r="V723" s="30"/>
      <c r="W723" s="30"/>
      <c r="X723" s="30"/>
      <c r="Y723" s="30"/>
      <c r="Z723" s="30"/>
      <c r="AA723" s="30"/>
      <c r="AB723" s="30"/>
      <c r="AC723" s="30"/>
    </row>
    <row r="724" ht="39.75" customHeight="1">
      <c r="A724" s="30"/>
      <c r="B724" s="31"/>
      <c r="C724" s="30"/>
      <c r="D724" s="30"/>
      <c r="E724" s="30"/>
      <c r="F724" s="30"/>
      <c r="G724" s="30"/>
      <c r="H724" s="30"/>
      <c r="I724" s="32"/>
      <c r="J724" s="30"/>
      <c r="K724" s="30"/>
      <c r="L724" s="30"/>
      <c r="M724" s="30"/>
      <c r="N724" s="30"/>
      <c r="O724" s="30"/>
      <c r="P724" s="30"/>
      <c r="Q724" s="30"/>
      <c r="R724" s="30"/>
      <c r="S724" s="30"/>
      <c r="T724" s="30"/>
      <c r="U724" s="30"/>
      <c r="V724" s="30"/>
      <c r="W724" s="30"/>
      <c r="X724" s="30"/>
      <c r="Y724" s="30"/>
      <c r="Z724" s="30"/>
      <c r="AA724" s="30"/>
      <c r="AB724" s="30"/>
      <c r="AC724" s="30"/>
    </row>
    <row r="725" ht="39.75" customHeight="1">
      <c r="A725" s="30"/>
      <c r="B725" s="31"/>
      <c r="C725" s="30"/>
      <c r="D725" s="30"/>
      <c r="E725" s="30"/>
      <c r="F725" s="30"/>
      <c r="G725" s="30"/>
      <c r="H725" s="30"/>
      <c r="I725" s="32"/>
      <c r="J725" s="30"/>
      <c r="K725" s="30"/>
      <c r="L725" s="30"/>
      <c r="M725" s="30"/>
      <c r="N725" s="30"/>
      <c r="O725" s="30"/>
      <c r="P725" s="30"/>
      <c r="Q725" s="30"/>
      <c r="R725" s="30"/>
      <c r="S725" s="30"/>
      <c r="T725" s="30"/>
      <c r="U725" s="30"/>
      <c r="V725" s="30"/>
      <c r="W725" s="30"/>
      <c r="X725" s="30"/>
      <c r="Y725" s="30"/>
      <c r="Z725" s="30"/>
      <c r="AA725" s="30"/>
      <c r="AB725" s="30"/>
      <c r="AC725" s="30"/>
    </row>
    <row r="726" ht="39.75" customHeight="1">
      <c r="A726" s="30"/>
      <c r="B726" s="31"/>
      <c r="C726" s="30"/>
      <c r="D726" s="30"/>
      <c r="E726" s="30"/>
      <c r="F726" s="30"/>
      <c r="G726" s="30"/>
      <c r="H726" s="30"/>
      <c r="I726" s="32"/>
      <c r="J726" s="30"/>
      <c r="K726" s="30"/>
      <c r="L726" s="30"/>
      <c r="M726" s="30"/>
      <c r="N726" s="30"/>
      <c r="O726" s="30"/>
      <c r="P726" s="30"/>
      <c r="Q726" s="30"/>
      <c r="R726" s="30"/>
      <c r="S726" s="30"/>
      <c r="T726" s="30"/>
      <c r="U726" s="30"/>
      <c r="V726" s="30"/>
      <c r="W726" s="30"/>
      <c r="X726" s="30"/>
      <c r="Y726" s="30"/>
      <c r="Z726" s="30"/>
      <c r="AA726" s="30"/>
      <c r="AB726" s="30"/>
      <c r="AC726" s="30"/>
    </row>
    <row r="727" ht="39.75" customHeight="1">
      <c r="A727" s="30"/>
      <c r="B727" s="31"/>
      <c r="C727" s="30"/>
      <c r="D727" s="30"/>
      <c r="E727" s="30"/>
      <c r="F727" s="30"/>
      <c r="G727" s="30"/>
      <c r="H727" s="30"/>
      <c r="I727" s="32"/>
      <c r="J727" s="30"/>
      <c r="K727" s="30"/>
      <c r="L727" s="30"/>
      <c r="M727" s="30"/>
      <c r="N727" s="30"/>
      <c r="O727" s="30"/>
      <c r="P727" s="30"/>
      <c r="Q727" s="30"/>
      <c r="R727" s="30"/>
      <c r="S727" s="30"/>
      <c r="T727" s="30"/>
      <c r="U727" s="30"/>
      <c r="V727" s="30"/>
      <c r="W727" s="30"/>
      <c r="X727" s="30"/>
      <c r="Y727" s="30"/>
      <c r="Z727" s="30"/>
      <c r="AA727" s="30"/>
      <c r="AB727" s="30"/>
      <c r="AC727" s="30"/>
    </row>
    <row r="728" ht="39.75" customHeight="1">
      <c r="A728" s="30"/>
      <c r="B728" s="31"/>
      <c r="C728" s="30"/>
      <c r="D728" s="30"/>
      <c r="E728" s="30"/>
      <c r="F728" s="30"/>
      <c r="G728" s="30"/>
      <c r="H728" s="30"/>
      <c r="I728" s="32"/>
      <c r="J728" s="30"/>
      <c r="K728" s="30"/>
      <c r="L728" s="30"/>
      <c r="M728" s="30"/>
      <c r="N728" s="30"/>
      <c r="O728" s="30"/>
      <c r="P728" s="30"/>
      <c r="Q728" s="30"/>
      <c r="R728" s="30"/>
      <c r="S728" s="30"/>
      <c r="T728" s="30"/>
      <c r="U728" s="30"/>
      <c r="V728" s="30"/>
      <c r="W728" s="30"/>
      <c r="X728" s="30"/>
      <c r="Y728" s="30"/>
      <c r="Z728" s="30"/>
      <c r="AA728" s="30"/>
      <c r="AB728" s="30"/>
      <c r="AC728" s="30"/>
    </row>
    <row r="729" ht="39.75" customHeight="1">
      <c r="A729" s="30"/>
      <c r="B729" s="31"/>
      <c r="C729" s="30"/>
      <c r="D729" s="30"/>
      <c r="E729" s="30"/>
      <c r="F729" s="30"/>
      <c r="G729" s="30"/>
      <c r="H729" s="30"/>
      <c r="I729" s="32"/>
      <c r="J729" s="30"/>
      <c r="K729" s="30"/>
      <c r="L729" s="30"/>
      <c r="M729" s="30"/>
      <c r="N729" s="30"/>
      <c r="O729" s="30"/>
      <c r="P729" s="30"/>
      <c r="Q729" s="30"/>
      <c r="R729" s="30"/>
      <c r="S729" s="30"/>
      <c r="T729" s="30"/>
      <c r="U729" s="30"/>
      <c r="V729" s="30"/>
      <c r="W729" s="30"/>
      <c r="X729" s="30"/>
      <c r="Y729" s="30"/>
      <c r="Z729" s="30"/>
      <c r="AA729" s="30"/>
      <c r="AB729" s="30"/>
      <c r="AC729" s="30"/>
    </row>
    <row r="730" ht="39.75" customHeight="1">
      <c r="A730" s="30"/>
      <c r="B730" s="31"/>
      <c r="C730" s="30"/>
      <c r="D730" s="30"/>
      <c r="E730" s="30"/>
      <c r="F730" s="30"/>
      <c r="G730" s="30"/>
      <c r="H730" s="30"/>
      <c r="I730" s="32"/>
      <c r="J730" s="30"/>
      <c r="K730" s="30"/>
      <c r="L730" s="30"/>
      <c r="M730" s="30"/>
      <c r="N730" s="30"/>
      <c r="O730" s="30"/>
      <c r="P730" s="30"/>
      <c r="Q730" s="30"/>
      <c r="R730" s="30"/>
      <c r="S730" s="30"/>
      <c r="T730" s="30"/>
      <c r="U730" s="30"/>
      <c r="V730" s="30"/>
      <c r="W730" s="30"/>
      <c r="X730" s="30"/>
      <c r="Y730" s="30"/>
      <c r="Z730" s="30"/>
      <c r="AA730" s="30"/>
      <c r="AB730" s="30"/>
      <c r="AC730" s="30"/>
    </row>
    <row r="731" ht="39.75" customHeight="1">
      <c r="A731" s="30"/>
      <c r="B731" s="31"/>
      <c r="C731" s="30"/>
      <c r="D731" s="30"/>
      <c r="E731" s="30"/>
      <c r="F731" s="30"/>
      <c r="G731" s="30"/>
      <c r="H731" s="30"/>
      <c r="I731" s="32"/>
      <c r="J731" s="30"/>
      <c r="K731" s="30"/>
      <c r="L731" s="30"/>
      <c r="M731" s="30"/>
      <c r="N731" s="30"/>
      <c r="O731" s="30"/>
      <c r="P731" s="30"/>
      <c r="Q731" s="30"/>
      <c r="R731" s="30"/>
      <c r="S731" s="30"/>
      <c r="T731" s="30"/>
      <c r="U731" s="30"/>
      <c r="V731" s="30"/>
      <c r="W731" s="30"/>
      <c r="X731" s="30"/>
      <c r="Y731" s="30"/>
      <c r="Z731" s="30"/>
      <c r="AA731" s="30"/>
      <c r="AB731" s="30"/>
      <c r="AC731" s="30"/>
    </row>
    <row r="732" ht="39.75" customHeight="1">
      <c r="A732" s="30"/>
      <c r="B732" s="31"/>
      <c r="C732" s="30"/>
      <c r="D732" s="30"/>
      <c r="E732" s="30"/>
      <c r="F732" s="30"/>
      <c r="G732" s="30"/>
      <c r="H732" s="30"/>
      <c r="I732" s="32"/>
      <c r="J732" s="30"/>
      <c r="K732" s="30"/>
      <c r="L732" s="30"/>
      <c r="M732" s="30"/>
      <c r="N732" s="30"/>
      <c r="O732" s="30"/>
      <c r="P732" s="30"/>
      <c r="Q732" s="30"/>
      <c r="R732" s="30"/>
      <c r="S732" s="30"/>
      <c r="T732" s="30"/>
      <c r="U732" s="30"/>
      <c r="V732" s="30"/>
      <c r="W732" s="30"/>
      <c r="X732" s="30"/>
      <c r="Y732" s="30"/>
      <c r="Z732" s="30"/>
      <c r="AA732" s="30"/>
      <c r="AB732" s="30"/>
      <c r="AC732" s="30"/>
    </row>
    <row r="733" ht="39.75" customHeight="1">
      <c r="A733" s="30"/>
      <c r="B733" s="31"/>
      <c r="C733" s="30"/>
      <c r="D733" s="30"/>
      <c r="E733" s="30"/>
      <c r="F733" s="30"/>
      <c r="G733" s="30"/>
      <c r="H733" s="30"/>
      <c r="I733" s="32"/>
      <c r="J733" s="30"/>
      <c r="K733" s="30"/>
      <c r="L733" s="30"/>
      <c r="M733" s="30"/>
      <c r="N733" s="30"/>
      <c r="O733" s="30"/>
      <c r="P733" s="30"/>
      <c r="Q733" s="30"/>
      <c r="R733" s="30"/>
      <c r="S733" s="30"/>
      <c r="T733" s="30"/>
      <c r="U733" s="30"/>
      <c r="V733" s="30"/>
      <c r="W733" s="30"/>
      <c r="X733" s="30"/>
      <c r="Y733" s="30"/>
      <c r="Z733" s="30"/>
      <c r="AA733" s="30"/>
      <c r="AB733" s="30"/>
      <c r="AC733" s="30"/>
    </row>
    <row r="734" ht="39.75" customHeight="1">
      <c r="A734" s="30"/>
      <c r="B734" s="31"/>
      <c r="C734" s="30"/>
      <c r="D734" s="30"/>
      <c r="E734" s="30"/>
      <c r="F734" s="30"/>
      <c r="G734" s="30"/>
      <c r="H734" s="30"/>
      <c r="I734" s="32"/>
      <c r="J734" s="30"/>
      <c r="K734" s="30"/>
      <c r="L734" s="30"/>
      <c r="M734" s="30"/>
      <c r="N734" s="30"/>
      <c r="O734" s="30"/>
      <c r="P734" s="30"/>
      <c r="Q734" s="30"/>
      <c r="R734" s="30"/>
      <c r="S734" s="30"/>
      <c r="T734" s="30"/>
      <c r="U734" s="30"/>
      <c r="V734" s="30"/>
      <c r="W734" s="30"/>
      <c r="X734" s="30"/>
      <c r="Y734" s="30"/>
      <c r="Z734" s="30"/>
      <c r="AA734" s="30"/>
      <c r="AB734" s="30"/>
      <c r="AC734" s="30"/>
    </row>
    <row r="735" ht="39.75" customHeight="1">
      <c r="A735" s="30"/>
      <c r="B735" s="31"/>
      <c r="C735" s="30"/>
      <c r="D735" s="30"/>
      <c r="E735" s="30"/>
      <c r="F735" s="30"/>
      <c r="G735" s="30"/>
      <c r="H735" s="30"/>
      <c r="I735" s="32"/>
      <c r="J735" s="30"/>
      <c r="K735" s="30"/>
      <c r="L735" s="30"/>
      <c r="M735" s="30"/>
      <c r="N735" s="30"/>
      <c r="O735" s="30"/>
      <c r="P735" s="30"/>
      <c r="Q735" s="30"/>
      <c r="R735" s="30"/>
      <c r="S735" s="30"/>
      <c r="T735" s="30"/>
      <c r="U735" s="30"/>
      <c r="V735" s="30"/>
      <c r="W735" s="30"/>
      <c r="X735" s="30"/>
      <c r="Y735" s="30"/>
      <c r="Z735" s="30"/>
      <c r="AA735" s="30"/>
      <c r="AB735" s="30"/>
      <c r="AC735" s="30"/>
    </row>
    <row r="736" ht="39.75" customHeight="1">
      <c r="A736" s="30"/>
      <c r="B736" s="31"/>
      <c r="C736" s="30"/>
      <c r="D736" s="30"/>
      <c r="E736" s="30"/>
      <c r="F736" s="30"/>
      <c r="G736" s="30"/>
      <c r="H736" s="30"/>
      <c r="I736" s="32"/>
      <c r="J736" s="30"/>
      <c r="K736" s="30"/>
      <c r="L736" s="30"/>
      <c r="M736" s="30"/>
      <c r="N736" s="30"/>
      <c r="O736" s="30"/>
      <c r="P736" s="30"/>
      <c r="Q736" s="30"/>
      <c r="R736" s="30"/>
      <c r="S736" s="30"/>
      <c r="T736" s="30"/>
      <c r="U736" s="30"/>
      <c r="V736" s="30"/>
      <c r="W736" s="30"/>
      <c r="X736" s="30"/>
      <c r="Y736" s="30"/>
      <c r="Z736" s="30"/>
      <c r="AA736" s="30"/>
      <c r="AB736" s="30"/>
      <c r="AC736" s="30"/>
    </row>
    <row r="737" ht="39.75" customHeight="1">
      <c r="A737" s="30"/>
      <c r="B737" s="31"/>
      <c r="C737" s="30"/>
      <c r="D737" s="30"/>
      <c r="E737" s="30"/>
      <c r="F737" s="30"/>
      <c r="G737" s="30"/>
      <c r="H737" s="30"/>
      <c r="I737" s="32"/>
      <c r="J737" s="30"/>
      <c r="K737" s="30"/>
      <c r="L737" s="30"/>
      <c r="M737" s="30"/>
      <c r="N737" s="30"/>
      <c r="O737" s="30"/>
      <c r="P737" s="30"/>
      <c r="Q737" s="30"/>
      <c r="R737" s="30"/>
      <c r="S737" s="30"/>
      <c r="T737" s="30"/>
      <c r="U737" s="30"/>
      <c r="V737" s="30"/>
      <c r="W737" s="30"/>
      <c r="X737" s="30"/>
      <c r="Y737" s="30"/>
      <c r="Z737" s="30"/>
      <c r="AA737" s="30"/>
      <c r="AB737" s="30"/>
      <c r="AC737" s="30"/>
    </row>
    <row r="738" ht="39.75" customHeight="1">
      <c r="A738" s="30"/>
      <c r="B738" s="31"/>
      <c r="C738" s="30"/>
      <c r="D738" s="30"/>
      <c r="E738" s="30"/>
      <c r="F738" s="30"/>
      <c r="G738" s="30"/>
      <c r="H738" s="30"/>
      <c r="I738" s="32"/>
      <c r="J738" s="30"/>
      <c r="K738" s="30"/>
      <c r="L738" s="30"/>
      <c r="M738" s="30"/>
      <c r="N738" s="30"/>
      <c r="O738" s="30"/>
      <c r="P738" s="30"/>
      <c r="Q738" s="30"/>
      <c r="R738" s="30"/>
      <c r="S738" s="30"/>
      <c r="T738" s="30"/>
      <c r="U738" s="30"/>
      <c r="V738" s="30"/>
      <c r="W738" s="30"/>
      <c r="X738" s="30"/>
      <c r="Y738" s="30"/>
      <c r="Z738" s="30"/>
      <c r="AA738" s="30"/>
      <c r="AB738" s="30"/>
      <c r="AC738" s="30"/>
    </row>
    <row r="739" ht="39.75" customHeight="1">
      <c r="A739" s="30"/>
      <c r="B739" s="31"/>
      <c r="C739" s="30"/>
      <c r="D739" s="30"/>
      <c r="E739" s="30"/>
      <c r="F739" s="30"/>
      <c r="G739" s="30"/>
      <c r="H739" s="30"/>
      <c r="I739" s="32"/>
      <c r="J739" s="30"/>
      <c r="K739" s="30"/>
      <c r="L739" s="30"/>
      <c r="M739" s="30"/>
      <c r="N739" s="30"/>
      <c r="O739" s="30"/>
      <c r="P739" s="30"/>
      <c r="Q739" s="30"/>
      <c r="R739" s="30"/>
      <c r="S739" s="30"/>
      <c r="T739" s="30"/>
      <c r="U739" s="30"/>
      <c r="V739" s="30"/>
      <c r="W739" s="30"/>
      <c r="X739" s="30"/>
      <c r="Y739" s="30"/>
      <c r="Z739" s="30"/>
      <c r="AA739" s="30"/>
      <c r="AB739" s="30"/>
      <c r="AC739" s="30"/>
    </row>
    <row r="740" ht="39.75" customHeight="1">
      <c r="A740" s="30"/>
      <c r="B740" s="31"/>
      <c r="C740" s="30"/>
      <c r="D740" s="30"/>
      <c r="E740" s="30"/>
      <c r="F740" s="30"/>
      <c r="G740" s="30"/>
      <c r="H740" s="30"/>
      <c r="I740" s="32"/>
      <c r="J740" s="30"/>
      <c r="K740" s="30"/>
      <c r="L740" s="30"/>
      <c r="M740" s="30"/>
      <c r="N740" s="30"/>
      <c r="O740" s="30"/>
      <c r="P740" s="30"/>
      <c r="Q740" s="30"/>
      <c r="R740" s="30"/>
      <c r="S740" s="30"/>
      <c r="T740" s="30"/>
      <c r="U740" s="30"/>
      <c r="V740" s="30"/>
      <c r="W740" s="30"/>
      <c r="X740" s="30"/>
      <c r="Y740" s="30"/>
      <c r="Z740" s="30"/>
      <c r="AA740" s="30"/>
      <c r="AB740" s="30"/>
      <c r="AC740" s="30"/>
    </row>
    <row r="741" ht="39.75" customHeight="1">
      <c r="A741" s="30"/>
      <c r="B741" s="31"/>
      <c r="C741" s="30"/>
      <c r="D741" s="30"/>
      <c r="E741" s="30"/>
      <c r="F741" s="30"/>
      <c r="G741" s="30"/>
      <c r="H741" s="30"/>
      <c r="I741" s="32"/>
      <c r="J741" s="30"/>
      <c r="K741" s="30"/>
      <c r="L741" s="30"/>
      <c r="M741" s="30"/>
      <c r="N741" s="30"/>
      <c r="O741" s="30"/>
      <c r="P741" s="30"/>
      <c r="Q741" s="30"/>
      <c r="R741" s="30"/>
      <c r="S741" s="30"/>
      <c r="T741" s="30"/>
      <c r="U741" s="30"/>
      <c r="V741" s="30"/>
      <c r="W741" s="30"/>
      <c r="X741" s="30"/>
      <c r="Y741" s="30"/>
      <c r="Z741" s="30"/>
      <c r="AA741" s="30"/>
      <c r="AB741" s="30"/>
      <c r="AC741" s="30"/>
    </row>
    <row r="742" ht="39.75" customHeight="1">
      <c r="A742" s="30"/>
      <c r="B742" s="31"/>
      <c r="C742" s="30"/>
      <c r="D742" s="30"/>
      <c r="E742" s="30"/>
      <c r="F742" s="30"/>
      <c r="G742" s="30"/>
      <c r="H742" s="30"/>
      <c r="I742" s="32"/>
      <c r="J742" s="30"/>
      <c r="K742" s="30"/>
      <c r="L742" s="30"/>
      <c r="M742" s="30"/>
      <c r="N742" s="30"/>
      <c r="O742" s="30"/>
      <c r="P742" s="30"/>
      <c r="Q742" s="30"/>
      <c r="R742" s="30"/>
      <c r="S742" s="30"/>
      <c r="T742" s="30"/>
      <c r="U742" s="30"/>
      <c r="V742" s="30"/>
      <c r="W742" s="30"/>
      <c r="X742" s="30"/>
      <c r="Y742" s="30"/>
      <c r="Z742" s="30"/>
      <c r="AA742" s="30"/>
      <c r="AB742" s="30"/>
      <c r="AC742" s="30"/>
    </row>
    <row r="743" ht="39.75" customHeight="1">
      <c r="A743" s="30"/>
      <c r="B743" s="31"/>
      <c r="C743" s="30"/>
      <c r="D743" s="30"/>
      <c r="E743" s="30"/>
      <c r="F743" s="30"/>
      <c r="G743" s="30"/>
      <c r="H743" s="30"/>
      <c r="I743" s="32"/>
      <c r="J743" s="30"/>
      <c r="K743" s="30"/>
      <c r="L743" s="30"/>
      <c r="M743" s="30"/>
      <c r="N743" s="30"/>
      <c r="O743" s="30"/>
      <c r="P743" s="30"/>
      <c r="Q743" s="30"/>
      <c r="R743" s="30"/>
      <c r="S743" s="30"/>
      <c r="T743" s="30"/>
      <c r="U743" s="30"/>
      <c r="V743" s="30"/>
      <c r="W743" s="30"/>
      <c r="X743" s="30"/>
      <c r="Y743" s="30"/>
      <c r="Z743" s="30"/>
      <c r="AA743" s="30"/>
      <c r="AB743" s="30"/>
      <c r="AC743" s="30"/>
    </row>
    <row r="744" ht="39.75" customHeight="1">
      <c r="A744" s="30"/>
      <c r="B744" s="31"/>
      <c r="C744" s="30"/>
      <c r="D744" s="30"/>
      <c r="E744" s="30"/>
      <c r="F744" s="30"/>
      <c r="G744" s="30"/>
      <c r="H744" s="30"/>
      <c r="I744" s="32"/>
      <c r="J744" s="30"/>
      <c r="K744" s="30"/>
      <c r="L744" s="30"/>
      <c r="M744" s="30"/>
      <c r="N744" s="30"/>
      <c r="O744" s="30"/>
      <c r="P744" s="30"/>
      <c r="Q744" s="30"/>
      <c r="R744" s="30"/>
      <c r="S744" s="30"/>
      <c r="T744" s="30"/>
      <c r="U744" s="30"/>
      <c r="V744" s="30"/>
      <c r="W744" s="30"/>
      <c r="X744" s="30"/>
      <c r="Y744" s="30"/>
      <c r="Z744" s="30"/>
      <c r="AA744" s="30"/>
      <c r="AB744" s="30"/>
      <c r="AC744" s="30"/>
    </row>
    <row r="745" ht="39.75" customHeight="1">
      <c r="A745" s="30"/>
      <c r="B745" s="31"/>
      <c r="C745" s="30"/>
      <c r="D745" s="30"/>
      <c r="E745" s="30"/>
      <c r="F745" s="30"/>
      <c r="G745" s="30"/>
      <c r="H745" s="30"/>
      <c r="I745" s="32"/>
      <c r="J745" s="30"/>
      <c r="K745" s="30"/>
      <c r="L745" s="30"/>
      <c r="M745" s="30"/>
      <c r="N745" s="30"/>
      <c r="O745" s="30"/>
      <c r="P745" s="30"/>
      <c r="Q745" s="30"/>
      <c r="R745" s="30"/>
      <c r="S745" s="30"/>
      <c r="T745" s="30"/>
      <c r="U745" s="30"/>
      <c r="V745" s="30"/>
      <c r="W745" s="30"/>
      <c r="X745" s="30"/>
      <c r="Y745" s="30"/>
      <c r="Z745" s="30"/>
      <c r="AA745" s="30"/>
      <c r="AB745" s="30"/>
      <c r="AC745" s="30"/>
    </row>
    <row r="746" ht="39.75" customHeight="1">
      <c r="A746" s="30"/>
      <c r="B746" s="31"/>
      <c r="C746" s="30"/>
      <c r="D746" s="30"/>
      <c r="E746" s="30"/>
      <c r="F746" s="30"/>
      <c r="G746" s="30"/>
      <c r="H746" s="30"/>
      <c r="I746" s="32"/>
      <c r="J746" s="30"/>
      <c r="K746" s="30"/>
      <c r="L746" s="30"/>
      <c r="M746" s="30"/>
      <c r="N746" s="30"/>
      <c r="O746" s="30"/>
      <c r="P746" s="30"/>
      <c r="Q746" s="30"/>
      <c r="R746" s="30"/>
      <c r="S746" s="30"/>
      <c r="T746" s="30"/>
      <c r="U746" s="30"/>
      <c r="V746" s="30"/>
      <c r="W746" s="30"/>
      <c r="X746" s="30"/>
      <c r="Y746" s="30"/>
      <c r="Z746" s="30"/>
      <c r="AA746" s="30"/>
      <c r="AB746" s="30"/>
      <c r="AC746" s="30"/>
    </row>
    <row r="747" ht="39.75" customHeight="1">
      <c r="A747" s="30"/>
      <c r="B747" s="31"/>
      <c r="C747" s="30"/>
      <c r="D747" s="30"/>
      <c r="E747" s="30"/>
      <c r="F747" s="30"/>
      <c r="G747" s="30"/>
      <c r="H747" s="30"/>
      <c r="I747" s="32"/>
      <c r="J747" s="30"/>
      <c r="K747" s="30"/>
      <c r="L747" s="30"/>
      <c r="M747" s="30"/>
      <c r="N747" s="30"/>
      <c r="O747" s="30"/>
      <c r="P747" s="30"/>
      <c r="Q747" s="30"/>
      <c r="R747" s="30"/>
      <c r="S747" s="30"/>
      <c r="T747" s="30"/>
      <c r="U747" s="30"/>
      <c r="V747" s="30"/>
      <c r="W747" s="30"/>
      <c r="X747" s="30"/>
      <c r="Y747" s="30"/>
      <c r="Z747" s="30"/>
      <c r="AA747" s="30"/>
      <c r="AB747" s="30"/>
      <c r="AC747" s="30"/>
    </row>
    <row r="748" ht="39.75" customHeight="1">
      <c r="A748" s="30"/>
      <c r="B748" s="31"/>
      <c r="C748" s="30"/>
      <c r="D748" s="30"/>
      <c r="E748" s="30"/>
      <c r="F748" s="30"/>
      <c r="G748" s="30"/>
      <c r="H748" s="30"/>
      <c r="I748" s="32"/>
      <c r="J748" s="30"/>
      <c r="K748" s="30"/>
      <c r="L748" s="30"/>
      <c r="M748" s="30"/>
      <c r="N748" s="30"/>
      <c r="O748" s="30"/>
      <c r="P748" s="30"/>
      <c r="Q748" s="30"/>
      <c r="R748" s="30"/>
      <c r="S748" s="30"/>
      <c r="T748" s="30"/>
      <c r="U748" s="30"/>
      <c r="V748" s="30"/>
      <c r="W748" s="30"/>
      <c r="X748" s="30"/>
      <c r="Y748" s="30"/>
      <c r="Z748" s="30"/>
      <c r="AA748" s="30"/>
      <c r="AB748" s="30"/>
      <c r="AC748" s="30"/>
    </row>
    <row r="749" ht="39.75" customHeight="1">
      <c r="A749" s="30"/>
      <c r="B749" s="31"/>
      <c r="C749" s="30"/>
      <c r="D749" s="30"/>
      <c r="E749" s="30"/>
      <c r="F749" s="30"/>
      <c r="G749" s="30"/>
      <c r="H749" s="30"/>
      <c r="I749" s="32"/>
      <c r="J749" s="30"/>
      <c r="K749" s="30"/>
      <c r="L749" s="30"/>
      <c r="M749" s="30"/>
      <c r="N749" s="30"/>
      <c r="O749" s="30"/>
      <c r="P749" s="30"/>
      <c r="Q749" s="30"/>
      <c r="R749" s="30"/>
      <c r="S749" s="30"/>
      <c r="T749" s="30"/>
      <c r="U749" s="30"/>
      <c r="V749" s="30"/>
      <c r="W749" s="30"/>
      <c r="X749" s="30"/>
      <c r="Y749" s="30"/>
      <c r="Z749" s="30"/>
      <c r="AA749" s="30"/>
      <c r="AB749" s="30"/>
      <c r="AC749" s="30"/>
    </row>
    <row r="750" ht="39.75" customHeight="1">
      <c r="A750" s="30"/>
      <c r="B750" s="31"/>
      <c r="C750" s="30"/>
      <c r="D750" s="30"/>
      <c r="E750" s="30"/>
      <c r="F750" s="30"/>
      <c r="G750" s="30"/>
      <c r="H750" s="30"/>
      <c r="I750" s="32"/>
      <c r="J750" s="30"/>
      <c r="K750" s="30"/>
      <c r="L750" s="30"/>
      <c r="M750" s="30"/>
      <c r="N750" s="30"/>
      <c r="O750" s="30"/>
      <c r="P750" s="30"/>
      <c r="Q750" s="30"/>
      <c r="R750" s="30"/>
      <c r="S750" s="30"/>
      <c r="T750" s="30"/>
      <c r="U750" s="30"/>
      <c r="V750" s="30"/>
      <c r="W750" s="30"/>
      <c r="X750" s="30"/>
      <c r="Y750" s="30"/>
      <c r="Z750" s="30"/>
      <c r="AA750" s="30"/>
      <c r="AB750" s="30"/>
      <c r="AC750" s="30"/>
    </row>
    <row r="751" ht="39.75" customHeight="1">
      <c r="A751" s="30"/>
      <c r="B751" s="31"/>
      <c r="C751" s="30"/>
      <c r="D751" s="30"/>
      <c r="E751" s="30"/>
      <c r="F751" s="30"/>
      <c r="G751" s="30"/>
      <c r="H751" s="30"/>
      <c r="I751" s="32"/>
      <c r="J751" s="30"/>
      <c r="K751" s="30"/>
      <c r="L751" s="30"/>
      <c r="M751" s="30"/>
      <c r="N751" s="30"/>
      <c r="O751" s="30"/>
      <c r="P751" s="30"/>
      <c r="Q751" s="30"/>
      <c r="R751" s="30"/>
      <c r="S751" s="30"/>
      <c r="T751" s="30"/>
      <c r="U751" s="30"/>
      <c r="V751" s="30"/>
      <c r="W751" s="30"/>
      <c r="X751" s="30"/>
      <c r="Y751" s="30"/>
      <c r="Z751" s="30"/>
      <c r="AA751" s="30"/>
      <c r="AB751" s="30"/>
      <c r="AC751" s="30"/>
    </row>
    <row r="752" ht="39.75" customHeight="1">
      <c r="A752" s="30"/>
      <c r="B752" s="31"/>
      <c r="C752" s="30"/>
      <c r="D752" s="30"/>
      <c r="E752" s="30"/>
      <c r="F752" s="30"/>
      <c r="G752" s="30"/>
      <c r="H752" s="30"/>
      <c r="I752" s="32"/>
      <c r="J752" s="30"/>
      <c r="K752" s="30"/>
      <c r="L752" s="30"/>
      <c r="M752" s="30"/>
      <c r="N752" s="30"/>
      <c r="O752" s="30"/>
      <c r="P752" s="30"/>
      <c r="Q752" s="30"/>
      <c r="R752" s="30"/>
      <c r="S752" s="30"/>
      <c r="T752" s="30"/>
      <c r="U752" s="30"/>
      <c r="V752" s="30"/>
      <c r="W752" s="30"/>
      <c r="X752" s="30"/>
      <c r="Y752" s="30"/>
      <c r="Z752" s="30"/>
      <c r="AA752" s="30"/>
      <c r="AB752" s="30"/>
      <c r="AC752" s="30"/>
    </row>
    <row r="753" ht="39.75" customHeight="1">
      <c r="A753" s="30"/>
      <c r="B753" s="31"/>
      <c r="C753" s="30"/>
      <c r="D753" s="30"/>
      <c r="E753" s="30"/>
      <c r="F753" s="30"/>
      <c r="G753" s="30"/>
      <c r="H753" s="30"/>
      <c r="I753" s="32"/>
      <c r="J753" s="30"/>
      <c r="K753" s="30"/>
      <c r="L753" s="30"/>
      <c r="M753" s="30"/>
      <c r="N753" s="30"/>
      <c r="O753" s="30"/>
      <c r="P753" s="30"/>
      <c r="Q753" s="30"/>
      <c r="R753" s="30"/>
      <c r="S753" s="30"/>
      <c r="T753" s="30"/>
      <c r="U753" s="30"/>
      <c r="V753" s="30"/>
      <c r="W753" s="30"/>
      <c r="X753" s="30"/>
      <c r="Y753" s="30"/>
      <c r="Z753" s="30"/>
      <c r="AA753" s="30"/>
      <c r="AB753" s="30"/>
      <c r="AC753" s="30"/>
    </row>
    <row r="754" ht="39.75" customHeight="1">
      <c r="A754" s="30"/>
      <c r="B754" s="31"/>
      <c r="C754" s="30"/>
      <c r="D754" s="30"/>
      <c r="E754" s="30"/>
      <c r="F754" s="30"/>
      <c r="G754" s="30"/>
      <c r="H754" s="30"/>
      <c r="I754" s="32"/>
      <c r="J754" s="30"/>
      <c r="K754" s="30"/>
      <c r="L754" s="30"/>
      <c r="M754" s="30"/>
      <c r="N754" s="30"/>
      <c r="O754" s="30"/>
      <c r="P754" s="30"/>
      <c r="Q754" s="30"/>
      <c r="R754" s="30"/>
      <c r="S754" s="30"/>
      <c r="T754" s="30"/>
      <c r="U754" s="30"/>
      <c r="V754" s="30"/>
      <c r="W754" s="30"/>
      <c r="X754" s="30"/>
      <c r="Y754" s="30"/>
      <c r="Z754" s="30"/>
      <c r="AA754" s="30"/>
      <c r="AB754" s="30"/>
      <c r="AC754" s="30"/>
    </row>
    <row r="755" ht="39.75" customHeight="1">
      <c r="A755" s="30"/>
      <c r="B755" s="31"/>
      <c r="C755" s="30"/>
      <c r="D755" s="30"/>
      <c r="E755" s="30"/>
      <c r="F755" s="30"/>
      <c r="G755" s="30"/>
      <c r="H755" s="30"/>
      <c r="I755" s="32"/>
      <c r="J755" s="30"/>
      <c r="K755" s="30"/>
      <c r="L755" s="30"/>
      <c r="M755" s="30"/>
      <c r="N755" s="30"/>
      <c r="O755" s="30"/>
      <c r="P755" s="30"/>
      <c r="Q755" s="30"/>
      <c r="R755" s="30"/>
      <c r="S755" s="30"/>
      <c r="T755" s="30"/>
      <c r="U755" s="30"/>
      <c r="V755" s="30"/>
      <c r="W755" s="30"/>
      <c r="X755" s="30"/>
      <c r="Y755" s="30"/>
      <c r="Z755" s="30"/>
      <c r="AA755" s="30"/>
      <c r="AB755" s="30"/>
      <c r="AC755" s="30"/>
    </row>
    <row r="756" ht="39.75" customHeight="1">
      <c r="A756" s="30"/>
      <c r="B756" s="31"/>
      <c r="C756" s="30"/>
      <c r="D756" s="30"/>
      <c r="E756" s="30"/>
      <c r="F756" s="30"/>
      <c r="G756" s="30"/>
      <c r="H756" s="30"/>
      <c r="I756" s="32"/>
      <c r="J756" s="30"/>
      <c r="K756" s="30"/>
      <c r="L756" s="30"/>
      <c r="M756" s="30"/>
      <c r="N756" s="30"/>
      <c r="O756" s="30"/>
      <c r="P756" s="30"/>
      <c r="Q756" s="30"/>
      <c r="R756" s="30"/>
      <c r="S756" s="30"/>
      <c r="T756" s="30"/>
      <c r="U756" s="30"/>
      <c r="V756" s="30"/>
      <c r="W756" s="30"/>
      <c r="X756" s="30"/>
      <c r="Y756" s="30"/>
      <c r="Z756" s="30"/>
      <c r="AA756" s="30"/>
      <c r="AB756" s="30"/>
      <c r="AC756" s="30"/>
    </row>
    <row r="757" ht="39.75" customHeight="1">
      <c r="A757" s="30"/>
      <c r="B757" s="31"/>
      <c r="C757" s="30"/>
      <c r="D757" s="30"/>
      <c r="E757" s="30"/>
      <c r="F757" s="30"/>
      <c r="G757" s="30"/>
      <c r="H757" s="30"/>
      <c r="I757" s="32"/>
      <c r="J757" s="30"/>
      <c r="K757" s="30"/>
      <c r="L757" s="30"/>
      <c r="M757" s="30"/>
      <c r="N757" s="30"/>
      <c r="O757" s="30"/>
      <c r="P757" s="30"/>
      <c r="Q757" s="30"/>
      <c r="R757" s="30"/>
      <c r="S757" s="30"/>
      <c r="T757" s="30"/>
      <c r="U757" s="30"/>
      <c r="V757" s="30"/>
      <c r="W757" s="30"/>
      <c r="X757" s="30"/>
      <c r="Y757" s="30"/>
      <c r="Z757" s="30"/>
      <c r="AA757" s="30"/>
      <c r="AB757" s="30"/>
      <c r="AC757" s="30"/>
    </row>
    <row r="758" ht="39.75" customHeight="1">
      <c r="A758" s="30"/>
      <c r="B758" s="31"/>
      <c r="C758" s="30"/>
      <c r="D758" s="30"/>
      <c r="E758" s="30"/>
      <c r="F758" s="30"/>
      <c r="G758" s="30"/>
      <c r="H758" s="30"/>
      <c r="I758" s="32"/>
      <c r="J758" s="30"/>
      <c r="K758" s="30"/>
      <c r="L758" s="30"/>
      <c r="M758" s="30"/>
      <c r="N758" s="30"/>
      <c r="O758" s="30"/>
      <c r="P758" s="30"/>
      <c r="Q758" s="30"/>
      <c r="R758" s="30"/>
      <c r="S758" s="30"/>
      <c r="T758" s="30"/>
      <c r="U758" s="30"/>
      <c r="V758" s="30"/>
      <c r="W758" s="30"/>
      <c r="X758" s="30"/>
      <c r="Y758" s="30"/>
      <c r="Z758" s="30"/>
      <c r="AA758" s="30"/>
      <c r="AB758" s="30"/>
      <c r="AC758" s="30"/>
    </row>
    <row r="759" ht="39.75" customHeight="1">
      <c r="A759" s="30"/>
      <c r="B759" s="31"/>
      <c r="C759" s="30"/>
      <c r="D759" s="30"/>
      <c r="E759" s="30"/>
      <c r="F759" s="30"/>
      <c r="G759" s="30"/>
      <c r="H759" s="30"/>
      <c r="I759" s="32"/>
      <c r="J759" s="30"/>
      <c r="K759" s="30"/>
      <c r="L759" s="30"/>
      <c r="M759" s="30"/>
      <c r="N759" s="30"/>
      <c r="O759" s="30"/>
      <c r="P759" s="30"/>
      <c r="Q759" s="30"/>
      <c r="R759" s="30"/>
      <c r="S759" s="30"/>
      <c r="T759" s="30"/>
      <c r="U759" s="30"/>
      <c r="V759" s="30"/>
      <c r="W759" s="30"/>
      <c r="X759" s="30"/>
      <c r="Y759" s="30"/>
      <c r="Z759" s="30"/>
      <c r="AA759" s="30"/>
      <c r="AB759" s="30"/>
      <c r="AC759" s="30"/>
    </row>
    <row r="760" ht="39.75" customHeight="1">
      <c r="A760" s="30"/>
      <c r="B760" s="31"/>
      <c r="C760" s="30"/>
      <c r="D760" s="30"/>
      <c r="E760" s="30"/>
      <c r="F760" s="30"/>
      <c r="G760" s="30"/>
      <c r="H760" s="30"/>
      <c r="I760" s="32"/>
      <c r="J760" s="30"/>
      <c r="K760" s="30"/>
      <c r="L760" s="30"/>
      <c r="M760" s="30"/>
      <c r="N760" s="30"/>
      <c r="O760" s="30"/>
      <c r="P760" s="30"/>
      <c r="Q760" s="30"/>
      <c r="R760" s="30"/>
      <c r="S760" s="30"/>
      <c r="T760" s="30"/>
      <c r="U760" s="30"/>
      <c r="V760" s="30"/>
      <c r="W760" s="30"/>
      <c r="X760" s="30"/>
      <c r="Y760" s="30"/>
      <c r="Z760" s="30"/>
      <c r="AA760" s="30"/>
      <c r="AB760" s="30"/>
      <c r="AC760" s="30"/>
    </row>
    <row r="761" ht="39.75" customHeight="1">
      <c r="A761" s="30"/>
      <c r="B761" s="31"/>
      <c r="C761" s="30"/>
      <c r="D761" s="30"/>
      <c r="E761" s="30"/>
      <c r="F761" s="30"/>
      <c r="G761" s="30"/>
      <c r="H761" s="30"/>
      <c r="I761" s="32"/>
      <c r="J761" s="30"/>
      <c r="K761" s="30"/>
      <c r="L761" s="30"/>
      <c r="M761" s="30"/>
      <c r="N761" s="30"/>
      <c r="O761" s="30"/>
      <c r="P761" s="30"/>
      <c r="Q761" s="30"/>
      <c r="R761" s="30"/>
      <c r="S761" s="30"/>
      <c r="T761" s="30"/>
      <c r="U761" s="30"/>
      <c r="V761" s="30"/>
      <c r="W761" s="30"/>
      <c r="X761" s="30"/>
      <c r="Y761" s="30"/>
      <c r="Z761" s="30"/>
      <c r="AA761" s="30"/>
      <c r="AB761" s="30"/>
      <c r="AC761" s="30"/>
    </row>
    <row r="762" ht="39.75" customHeight="1">
      <c r="A762" s="30"/>
      <c r="B762" s="31"/>
      <c r="C762" s="30"/>
      <c r="D762" s="30"/>
      <c r="E762" s="30"/>
      <c r="F762" s="30"/>
      <c r="G762" s="30"/>
      <c r="H762" s="30"/>
      <c r="I762" s="32"/>
      <c r="J762" s="30"/>
      <c r="K762" s="30"/>
      <c r="L762" s="30"/>
      <c r="M762" s="30"/>
      <c r="N762" s="30"/>
      <c r="O762" s="30"/>
      <c r="P762" s="30"/>
      <c r="Q762" s="30"/>
      <c r="R762" s="30"/>
      <c r="S762" s="30"/>
      <c r="T762" s="30"/>
      <c r="U762" s="30"/>
      <c r="V762" s="30"/>
      <c r="W762" s="30"/>
      <c r="X762" s="30"/>
      <c r="Y762" s="30"/>
      <c r="Z762" s="30"/>
      <c r="AA762" s="30"/>
      <c r="AB762" s="30"/>
      <c r="AC762" s="30"/>
    </row>
    <row r="763" ht="39.75" customHeight="1">
      <c r="A763" s="30"/>
      <c r="B763" s="31"/>
      <c r="C763" s="30"/>
      <c r="D763" s="30"/>
      <c r="E763" s="30"/>
      <c r="F763" s="30"/>
      <c r="G763" s="30"/>
      <c r="H763" s="30"/>
      <c r="I763" s="32"/>
      <c r="J763" s="30"/>
      <c r="K763" s="30"/>
      <c r="L763" s="30"/>
      <c r="M763" s="30"/>
      <c r="N763" s="30"/>
      <c r="O763" s="30"/>
      <c r="P763" s="30"/>
      <c r="Q763" s="30"/>
      <c r="R763" s="30"/>
      <c r="S763" s="30"/>
      <c r="T763" s="30"/>
      <c r="U763" s="30"/>
      <c r="V763" s="30"/>
      <c r="W763" s="30"/>
      <c r="X763" s="30"/>
      <c r="Y763" s="30"/>
      <c r="Z763" s="30"/>
      <c r="AA763" s="30"/>
      <c r="AB763" s="30"/>
      <c r="AC763" s="30"/>
    </row>
    <row r="764" ht="39.75" customHeight="1">
      <c r="A764" s="30"/>
      <c r="B764" s="31"/>
      <c r="C764" s="30"/>
      <c r="D764" s="30"/>
      <c r="E764" s="30"/>
      <c r="F764" s="30"/>
      <c r="G764" s="30"/>
      <c r="H764" s="30"/>
      <c r="I764" s="32"/>
      <c r="J764" s="30"/>
      <c r="K764" s="30"/>
      <c r="L764" s="30"/>
      <c r="M764" s="30"/>
      <c r="N764" s="30"/>
      <c r="O764" s="30"/>
      <c r="P764" s="30"/>
      <c r="Q764" s="30"/>
      <c r="R764" s="30"/>
      <c r="S764" s="30"/>
      <c r="T764" s="30"/>
      <c r="U764" s="30"/>
      <c r="V764" s="30"/>
      <c r="W764" s="30"/>
      <c r="X764" s="30"/>
      <c r="Y764" s="30"/>
      <c r="Z764" s="30"/>
      <c r="AA764" s="30"/>
      <c r="AB764" s="30"/>
      <c r="AC764" s="30"/>
    </row>
    <row r="765" ht="39.75" customHeight="1">
      <c r="A765" s="30"/>
      <c r="B765" s="31"/>
      <c r="C765" s="30"/>
      <c r="D765" s="30"/>
      <c r="E765" s="30"/>
      <c r="F765" s="30"/>
      <c r="G765" s="30"/>
      <c r="H765" s="30"/>
      <c r="I765" s="32"/>
      <c r="J765" s="30"/>
      <c r="K765" s="30"/>
      <c r="L765" s="30"/>
      <c r="M765" s="30"/>
      <c r="N765" s="30"/>
      <c r="O765" s="30"/>
      <c r="P765" s="30"/>
      <c r="Q765" s="30"/>
      <c r="R765" s="30"/>
      <c r="S765" s="30"/>
      <c r="T765" s="30"/>
      <c r="U765" s="30"/>
      <c r="V765" s="30"/>
      <c r="W765" s="30"/>
      <c r="X765" s="30"/>
      <c r="Y765" s="30"/>
      <c r="Z765" s="30"/>
      <c r="AA765" s="30"/>
      <c r="AB765" s="30"/>
      <c r="AC765" s="30"/>
    </row>
    <row r="766" ht="39.75" customHeight="1">
      <c r="A766" s="30"/>
      <c r="B766" s="31"/>
      <c r="C766" s="30"/>
      <c r="D766" s="30"/>
      <c r="E766" s="30"/>
      <c r="F766" s="30"/>
      <c r="G766" s="30"/>
      <c r="H766" s="30"/>
      <c r="I766" s="32"/>
      <c r="J766" s="30"/>
      <c r="K766" s="30"/>
      <c r="L766" s="30"/>
      <c r="M766" s="30"/>
      <c r="N766" s="30"/>
      <c r="O766" s="30"/>
      <c r="P766" s="30"/>
      <c r="Q766" s="30"/>
      <c r="R766" s="30"/>
      <c r="S766" s="30"/>
      <c r="T766" s="30"/>
      <c r="U766" s="30"/>
      <c r="V766" s="30"/>
      <c r="W766" s="30"/>
      <c r="X766" s="30"/>
      <c r="Y766" s="30"/>
      <c r="Z766" s="30"/>
      <c r="AA766" s="30"/>
      <c r="AB766" s="30"/>
      <c r="AC766" s="30"/>
    </row>
    <row r="767" ht="39.75" customHeight="1">
      <c r="A767" s="30"/>
      <c r="B767" s="31"/>
      <c r="C767" s="30"/>
      <c r="D767" s="30"/>
      <c r="E767" s="30"/>
      <c r="F767" s="30"/>
      <c r="G767" s="30"/>
      <c r="H767" s="30"/>
      <c r="I767" s="32"/>
      <c r="J767" s="30"/>
      <c r="K767" s="30"/>
      <c r="L767" s="30"/>
      <c r="M767" s="30"/>
      <c r="N767" s="30"/>
      <c r="O767" s="30"/>
      <c r="P767" s="30"/>
      <c r="Q767" s="30"/>
      <c r="R767" s="30"/>
      <c r="S767" s="30"/>
      <c r="T767" s="30"/>
      <c r="U767" s="30"/>
      <c r="V767" s="30"/>
      <c r="W767" s="30"/>
      <c r="X767" s="30"/>
      <c r="Y767" s="30"/>
      <c r="Z767" s="30"/>
      <c r="AA767" s="30"/>
      <c r="AB767" s="30"/>
      <c r="AC767" s="30"/>
    </row>
    <row r="768" ht="39.75" customHeight="1">
      <c r="A768" s="30"/>
      <c r="B768" s="31"/>
      <c r="C768" s="30"/>
      <c r="D768" s="30"/>
      <c r="E768" s="30"/>
      <c r="F768" s="30"/>
      <c r="G768" s="30"/>
      <c r="H768" s="30"/>
      <c r="I768" s="32"/>
      <c r="J768" s="30"/>
      <c r="K768" s="30"/>
      <c r="L768" s="30"/>
      <c r="M768" s="30"/>
      <c r="N768" s="30"/>
      <c r="O768" s="30"/>
      <c r="P768" s="30"/>
      <c r="Q768" s="30"/>
      <c r="R768" s="30"/>
      <c r="S768" s="30"/>
      <c r="T768" s="30"/>
      <c r="U768" s="30"/>
      <c r="V768" s="30"/>
      <c r="W768" s="30"/>
      <c r="X768" s="30"/>
      <c r="Y768" s="30"/>
      <c r="Z768" s="30"/>
      <c r="AA768" s="30"/>
      <c r="AB768" s="30"/>
      <c r="AC768" s="30"/>
    </row>
    <row r="769" ht="39.75" customHeight="1">
      <c r="A769" s="30"/>
      <c r="B769" s="31"/>
      <c r="C769" s="30"/>
      <c r="D769" s="30"/>
      <c r="E769" s="30"/>
      <c r="F769" s="30"/>
      <c r="G769" s="30"/>
      <c r="H769" s="30"/>
      <c r="I769" s="32"/>
      <c r="J769" s="30"/>
      <c r="K769" s="30"/>
      <c r="L769" s="30"/>
      <c r="M769" s="30"/>
      <c r="N769" s="30"/>
      <c r="O769" s="30"/>
      <c r="P769" s="30"/>
      <c r="Q769" s="30"/>
      <c r="R769" s="30"/>
      <c r="S769" s="30"/>
      <c r="T769" s="30"/>
      <c r="U769" s="30"/>
      <c r="V769" s="30"/>
      <c r="W769" s="30"/>
      <c r="X769" s="30"/>
      <c r="Y769" s="30"/>
      <c r="Z769" s="30"/>
      <c r="AA769" s="30"/>
      <c r="AB769" s="30"/>
      <c r="AC769" s="30"/>
    </row>
    <row r="770" ht="39.75" customHeight="1">
      <c r="A770" s="30"/>
      <c r="B770" s="31"/>
      <c r="C770" s="30"/>
      <c r="D770" s="30"/>
      <c r="E770" s="30"/>
      <c r="F770" s="30"/>
      <c r="G770" s="30"/>
      <c r="H770" s="30"/>
      <c r="I770" s="32"/>
      <c r="J770" s="30"/>
      <c r="K770" s="30"/>
      <c r="L770" s="30"/>
      <c r="M770" s="30"/>
      <c r="N770" s="30"/>
      <c r="O770" s="30"/>
      <c r="P770" s="30"/>
      <c r="Q770" s="30"/>
      <c r="R770" s="30"/>
      <c r="S770" s="30"/>
      <c r="T770" s="30"/>
      <c r="U770" s="30"/>
      <c r="V770" s="30"/>
      <c r="W770" s="30"/>
      <c r="X770" s="30"/>
      <c r="Y770" s="30"/>
      <c r="Z770" s="30"/>
      <c r="AA770" s="30"/>
      <c r="AB770" s="30"/>
      <c r="AC770" s="30"/>
    </row>
    <row r="771" ht="39.75" customHeight="1">
      <c r="A771" s="30"/>
      <c r="B771" s="31"/>
      <c r="C771" s="30"/>
      <c r="D771" s="30"/>
      <c r="E771" s="30"/>
      <c r="F771" s="30"/>
      <c r="G771" s="30"/>
      <c r="H771" s="30"/>
      <c r="I771" s="32"/>
      <c r="J771" s="30"/>
      <c r="K771" s="30"/>
      <c r="L771" s="30"/>
      <c r="M771" s="30"/>
      <c r="N771" s="30"/>
      <c r="O771" s="30"/>
      <c r="P771" s="30"/>
      <c r="Q771" s="30"/>
      <c r="R771" s="30"/>
      <c r="S771" s="30"/>
      <c r="T771" s="30"/>
      <c r="U771" s="30"/>
      <c r="V771" s="30"/>
      <c r="W771" s="30"/>
      <c r="X771" s="30"/>
      <c r="Y771" s="30"/>
      <c r="Z771" s="30"/>
      <c r="AA771" s="30"/>
      <c r="AB771" s="30"/>
      <c r="AC771" s="30"/>
    </row>
    <row r="772" ht="39.75" customHeight="1">
      <c r="A772" s="30"/>
      <c r="B772" s="31"/>
      <c r="C772" s="30"/>
      <c r="D772" s="30"/>
      <c r="E772" s="30"/>
      <c r="F772" s="30"/>
      <c r="G772" s="30"/>
      <c r="H772" s="30"/>
      <c r="I772" s="32"/>
      <c r="J772" s="30"/>
      <c r="K772" s="30"/>
      <c r="L772" s="30"/>
      <c r="M772" s="30"/>
      <c r="N772" s="30"/>
      <c r="O772" s="30"/>
      <c r="P772" s="30"/>
      <c r="Q772" s="30"/>
      <c r="R772" s="30"/>
      <c r="S772" s="30"/>
      <c r="T772" s="30"/>
      <c r="U772" s="30"/>
      <c r="V772" s="30"/>
      <c r="W772" s="30"/>
      <c r="X772" s="30"/>
      <c r="Y772" s="30"/>
      <c r="Z772" s="30"/>
      <c r="AA772" s="30"/>
      <c r="AB772" s="30"/>
      <c r="AC772" s="30"/>
    </row>
    <row r="773" ht="39.75" customHeight="1">
      <c r="A773" s="30"/>
      <c r="B773" s="31"/>
      <c r="C773" s="30"/>
      <c r="D773" s="30"/>
      <c r="E773" s="30"/>
      <c r="F773" s="30"/>
      <c r="G773" s="30"/>
      <c r="H773" s="30"/>
      <c r="I773" s="32"/>
      <c r="J773" s="30"/>
      <c r="K773" s="30"/>
      <c r="L773" s="30"/>
      <c r="M773" s="30"/>
      <c r="N773" s="30"/>
      <c r="O773" s="30"/>
      <c r="P773" s="30"/>
      <c r="Q773" s="30"/>
      <c r="R773" s="30"/>
      <c r="S773" s="30"/>
      <c r="T773" s="30"/>
      <c r="U773" s="30"/>
      <c r="V773" s="30"/>
      <c r="W773" s="30"/>
      <c r="X773" s="30"/>
      <c r="Y773" s="30"/>
      <c r="Z773" s="30"/>
      <c r="AA773" s="30"/>
      <c r="AB773" s="30"/>
      <c r="AC773" s="30"/>
    </row>
    <row r="774" ht="39.75" customHeight="1">
      <c r="A774" s="30"/>
      <c r="B774" s="31"/>
      <c r="C774" s="30"/>
      <c r="D774" s="30"/>
      <c r="E774" s="30"/>
      <c r="F774" s="30"/>
      <c r="G774" s="30"/>
      <c r="H774" s="30"/>
      <c r="I774" s="32"/>
      <c r="J774" s="30"/>
      <c r="K774" s="30"/>
      <c r="L774" s="30"/>
      <c r="M774" s="30"/>
      <c r="N774" s="30"/>
      <c r="O774" s="30"/>
      <c r="P774" s="30"/>
      <c r="Q774" s="30"/>
      <c r="R774" s="30"/>
      <c r="S774" s="30"/>
      <c r="T774" s="30"/>
      <c r="U774" s="30"/>
      <c r="V774" s="30"/>
      <c r="W774" s="30"/>
      <c r="X774" s="30"/>
      <c r="Y774" s="30"/>
      <c r="Z774" s="30"/>
      <c r="AA774" s="30"/>
      <c r="AB774" s="30"/>
      <c r="AC774" s="30"/>
    </row>
    <row r="775" ht="39.75" customHeight="1">
      <c r="A775" s="30"/>
      <c r="B775" s="31"/>
      <c r="C775" s="30"/>
      <c r="D775" s="30"/>
      <c r="E775" s="30"/>
      <c r="F775" s="30"/>
      <c r="G775" s="30"/>
      <c r="H775" s="30"/>
      <c r="I775" s="32"/>
      <c r="J775" s="30"/>
      <c r="K775" s="30"/>
      <c r="L775" s="30"/>
      <c r="M775" s="30"/>
      <c r="N775" s="30"/>
      <c r="O775" s="30"/>
      <c r="P775" s="30"/>
      <c r="Q775" s="30"/>
      <c r="R775" s="30"/>
      <c r="S775" s="30"/>
      <c r="T775" s="30"/>
      <c r="U775" s="30"/>
      <c r="V775" s="30"/>
      <c r="W775" s="30"/>
      <c r="X775" s="30"/>
      <c r="Y775" s="30"/>
      <c r="Z775" s="30"/>
      <c r="AA775" s="30"/>
      <c r="AB775" s="30"/>
      <c r="AC775" s="30"/>
    </row>
    <row r="776" ht="39.75" customHeight="1">
      <c r="A776" s="30"/>
      <c r="B776" s="31"/>
      <c r="C776" s="30"/>
      <c r="D776" s="30"/>
      <c r="E776" s="30"/>
      <c r="F776" s="30"/>
      <c r="G776" s="30"/>
      <c r="H776" s="30"/>
      <c r="I776" s="32"/>
      <c r="J776" s="30"/>
      <c r="K776" s="30"/>
      <c r="L776" s="30"/>
      <c r="M776" s="30"/>
      <c r="N776" s="30"/>
      <c r="O776" s="30"/>
      <c r="P776" s="30"/>
      <c r="Q776" s="30"/>
      <c r="R776" s="30"/>
      <c r="S776" s="30"/>
      <c r="T776" s="30"/>
      <c r="U776" s="30"/>
      <c r="V776" s="30"/>
      <c r="W776" s="30"/>
      <c r="X776" s="30"/>
      <c r="Y776" s="30"/>
      <c r="Z776" s="30"/>
      <c r="AA776" s="30"/>
      <c r="AB776" s="30"/>
      <c r="AC776" s="30"/>
    </row>
    <row r="777" ht="39.75" customHeight="1">
      <c r="A777" s="30"/>
      <c r="B777" s="31"/>
      <c r="C777" s="30"/>
      <c r="D777" s="30"/>
      <c r="E777" s="30"/>
      <c r="F777" s="30"/>
      <c r="G777" s="30"/>
      <c r="H777" s="30"/>
      <c r="I777" s="32"/>
      <c r="J777" s="30"/>
      <c r="K777" s="30"/>
      <c r="L777" s="30"/>
      <c r="M777" s="30"/>
      <c r="N777" s="30"/>
      <c r="O777" s="30"/>
      <c r="P777" s="30"/>
      <c r="Q777" s="30"/>
      <c r="R777" s="30"/>
      <c r="S777" s="30"/>
      <c r="T777" s="30"/>
      <c r="U777" s="30"/>
      <c r="V777" s="30"/>
      <c r="W777" s="30"/>
      <c r="X777" s="30"/>
      <c r="Y777" s="30"/>
      <c r="Z777" s="30"/>
      <c r="AA777" s="30"/>
      <c r="AB777" s="30"/>
      <c r="AC777" s="30"/>
    </row>
    <row r="778" ht="39.75" customHeight="1">
      <c r="A778" s="30"/>
      <c r="B778" s="31"/>
      <c r="C778" s="30"/>
      <c r="D778" s="30"/>
      <c r="E778" s="30"/>
      <c r="F778" s="30"/>
      <c r="G778" s="30"/>
      <c r="H778" s="30"/>
      <c r="I778" s="32"/>
      <c r="J778" s="30"/>
      <c r="K778" s="30"/>
      <c r="L778" s="30"/>
      <c r="M778" s="30"/>
      <c r="N778" s="30"/>
      <c r="O778" s="30"/>
      <c r="P778" s="30"/>
      <c r="Q778" s="30"/>
      <c r="R778" s="30"/>
      <c r="S778" s="30"/>
      <c r="T778" s="30"/>
      <c r="U778" s="30"/>
      <c r="V778" s="30"/>
      <c r="W778" s="30"/>
      <c r="X778" s="30"/>
      <c r="Y778" s="30"/>
      <c r="Z778" s="30"/>
      <c r="AA778" s="30"/>
      <c r="AB778" s="30"/>
      <c r="AC778" s="30"/>
    </row>
    <row r="779" ht="39.75" customHeight="1">
      <c r="A779" s="30"/>
      <c r="B779" s="31"/>
      <c r="C779" s="30"/>
      <c r="D779" s="30"/>
      <c r="E779" s="30"/>
      <c r="F779" s="30"/>
      <c r="G779" s="30"/>
      <c r="H779" s="30"/>
      <c r="I779" s="32"/>
      <c r="J779" s="30"/>
      <c r="K779" s="30"/>
      <c r="L779" s="30"/>
      <c r="M779" s="30"/>
      <c r="N779" s="30"/>
      <c r="O779" s="30"/>
      <c r="P779" s="30"/>
      <c r="Q779" s="30"/>
      <c r="R779" s="30"/>
      <c r="S779" s="30"/>
      <c r="T779" s="30"/>
      <c r="U779" s="30"/>
      <c r="V779" s="30"/>
      <c r="W779" s="30"/>
      <c r="X779" s="30"/>
      <c r="Y779" s="30"/>
      <c r="Z779" s="30"/>
      <c r="AA779" s="30"/>
      <c r="AB779" s="30"/>
      <c r="AC779" s="30"/>
    </row>
    <row r="780" ht="39.75" customHeight="1">
      <c r="A780" s="30"/>
      <c r="B780" s="31"/>
      <c r="C780" s="30"/>
      <c r="D780" s="30"/>
      <c r="E780" s="30"/>
      <c r="F780" s="30"/>
      <c r="G780" s="30"/>
      <c r="H780" s="30"/>
      <c r="I780" s="32"/>
      <c r="J780" s="30"/>
      <c r="K780" s="30"/>
      <c r="L780" s="30"/>
      <c r="M780" s="30"/>
      <c r="N780" s="30"/>
      <c r="O780" s="30"/>
      <c r="P780" s="30"/>
      <c r="Q780" s="30"/>
      <c r="R780" s="30"/>
      <c r="S780" s="30"/>
      <c r="T780" s="30"/>
      <c r="U780" s="30"/>
      <c r="V780" s="30"/>
      <c r="W780" s="30"/>
      <c r="X780" s="30"/>
      <c r="Y780" s="30"/>
      <c r="Z780" s="30"/>
      <c r="AA780" s="30"/>
      <c r="AB780" s="30"/>
      <c r="AC780" s="30"/>
    </row>
    <row r="781" ht="39.75" customHeight="1">
      <c r="A781" s="30"/>
      <c r="B781" s="31"/>
      <c r="C781" s="30"/>
      <c r="D781" s="30"/>
      <c r="E781" s="30"/>
      <c r="F781" s="30"/>
      <c r="G781" s="30"/>
      <c r="H781" s="30"/>
      <c r="I781" s="32"/>
      <c r="J781" s="30"/>
      <c r="K781" s="30"/>
      <c r="L781" s="30"/>
      <c r="M781" s="30"/>
      <c r="N781" s="30"/>
      <c r="O781" s="30"/>
      <c r="P781" s="30"/>
      <c r="Q781" s="30"/>
      <c r="R781" s="30"/>
      <c r="S781" s="30"/>
      <c r="T781" s="30"/>
      <c r="U781" s="30"/>
      <c r="V781" s="30"/>
      <c r="W781" s="30"/>
      <c r="X781" s="30"/>
      <c r="Y781" s="30"/>
      <c r="Z781" s="30"/>
      <c r="AA781" s="30"/>
      <c r="AB781" s="30"/>
      <c r="AC781" s="30"/>
    </row>
    <row r="782" ht="39.75" customHeight="1">
      <c r="A782" s="30"/>
      <c r="B782" s="31"/>
      <c r="C782" s="30"/>
      <c r="D782" s="30"/>
      <c r="E782" s="30"/>
      <c r="F782" s="30"/>
      <c r="G782" s="30"/>
      <c r="H782" s="30"/>
      <c r="I782" s="32"/>
      <c r="J782" s="30"/>
      <c r="K782" s="30"/>
      <c r="L782" s="30"/>
      <c r="M782" s="30"/>
      <c r="N782" s="30"/>
      <c r="O782" s="30"/>
      <c r="P782" s="30"/>
      <c r="Q782" s="30"/>
      <c r="R782" s="30"/>
      <c r="S782" s="30"/>
      <c r="T782" s="30"/>
      <c r="U782" s="30"/>
      <c r="V782" s="30"/>
      <c r="W782" s="30"/>
      <c r="X782" s="30"/>
      <c r="Y782" s="30"/>
      <c r="Z782" s="30"/>
      <c r="AA782" s="30"/>
      <c r="AB782" s="30"/>
      <c r="AC782" s="30"/>
    </row>
    <row r="783" ht="39.75" customHeight="1">
      <c r="A783" s="30"/>
      <c r="B783" s="31"/>
      <c r="C783" s="30"/>
      <c r="D783" s="30"/>
      <c r="E783" s="30"/>
      <c r="F783" s="30"/>
      <c r="G783" s="30"/>
      <c r="H783" s="30"/>
      <c r="I783" s="32"/>
      <c r="J783" s="30"/>
      <c r="K783" s="30"/>
      <c r="L783" s="30"/>
      <c r="M783" s="30"/>
      <c r="N783" s="30"/>
      <c r="O783" s="30"/>
      <c r="P783" s="30"/>
      <c r="Q783" s="30"/>
      <c r="R783" s="30"/>
      <c r="S783" s="30"/>
      <c r="T783" s="30"/>
      <c r="U783" s="30"/>
      <c r="V783" s="30"/>
      <c r="W783" s="30"/>
      <c r="X783" s="30"/>
      <c r="Y783" s="30"/>
      <c r="Z783" s="30"/>
      <c r="AA783" s="30"/>
      <c r="AB783" s="30"/>
      <c r="AC783" s="30"/>
    </row>
    <row r="784" ht="39.75" customHeight="1">
      <c r="A784" s="30"/>
      <c r="B784" s="31"/>
      <c r="C784" s="30"/>
      <c r="D784" s="30"/>
      <c r="E784" s="30"/>
      <c r="F784" s="30"/>
      <c r="G784" s="30"/>
      <c r="H784" s="30"/>
      <c r="I784" s="32"/>
      <c r="J784" s="30"/>
      <c r="K784" s="30"/>
      <c r="L784" s="30"/>
      <c r="M784" s="30"/>
      <c r="N784" s="30"/>
      <c r="O784" s="30"/>
      <c r="P784" s="30"/>
      <c r="Q784" s="30"/>
      <c r="R784" s="30"/>
      <c r="S784" s="30"/>
      <c r="T784" s="30"/>
      <c r="U784" s="30"/>
      <c r="V784" s="30"/>
      <c r="W784" s="30"/>
      <c r="X784" s="30"/>
      <c r="Y784" s="30"/>
      <c r="Z784" s="30"/>
      <c r="AA784" s="30"/>
      <c r="AB784" s="30"/>
      <c r="AC784" s="30"/>
    </row>
    <row r="785" ht="39.75" customHeight="1">
      <c r="A785" s="30"/>
      <c r="B785" s="31"/>
      <c r="C785" s="30"/>
      <c r="D785" s="30"/>
      <c r="E785" s="30"/>
      <c r="F785" s="30"/>
      <c r="G785" s="30"/>
      <c r="H785" s="30"/>
      <c r="I785" s="32"/>
      <c r="J785" s="30"/>
      <c r="K785" s="30"/>
      <c r="L785" s="30"/>
      <c r="M785" s="30"/>
      <c r="N785" s="30"/>
      <c r="O785" s="30"/>
      <c r="P785" s="30"/>
      <c r="Q785" s="30"/>
      <c r="R785" s="30"/>
      <c r="S785" s="30"/>
      <c r="T785" s="30"/>
      <c r="U785" s="30"/>
      <c r="V785" s="30"/>
      <c r="W785" s="30"/>
      <c r="X785" s="30"/>
      <c r="Y785" s="30"/>
      <c r="Z785" s="30"/>
      <c r="AA785" s="30"/>
      <c r="AB785" s="30"/>
      <c r="AC785" s="30"/>
    </row>
    <row r="786" ht="39.75" customHeight="1">
      <c r="A786" s="30"/>
      <c r="B786" s="31"/>
      <c r="C786" s="30"/>
      <c r="D786" s="30"/>
      <c r="E786" s="30"/>
      <c r="F786" s="30"/>
      <c r="G786" s="30"/>
      <c r="H786" s="30"/>
      <c r="I786" s="32"/>
      <c r="J786" s="30"/>
      <c r="K786" s="30"/>
      <c r="L786" s="30"/>
      <c r="M786" s="30"/>
      <c r="N786" s="30"/>
      <c r="O786" s="30"/>
      <c r="P786" s="30"/>
      <c r="Q786" s="30"/>
      <c r="R786" s="30"/>
      <c r="S786" s="30"/>
      <c r="T786" s="30"/>
      <c r="U786" s="30"/>
      <c r="V786" s="30"/>
      <c r="W786" s="30"/>
      <c r="X786" s="30"/>
      <c r="Y786" s="30"/>
      <c r="Z786" s="30"/>
      <c r="AA786" s="30"/>
      <c r="AB786" s="30"/>
      <c r="AC786" s="30"/>
    </row>
    <row r="787" ht="39.75" customHeight="1">
      <c r="A787" s="30"/>
      <c r="B787" s="31"/>
      <c r="C787" s="30"/>
      <c r="D787" s="30"/>
      <c r="E787" s="30"/>
      <c r="F787" s="30"/>
      <c r="G787" s="30"/>
      <c r="H787" s="30"/>
      <c r="I787" s="32"/>
      <c r="J787" s="30"/>
      <c r="K787" s="30"/>
      <c r="L787" s="30"/>
      <c r="M787" s="30"/>
      <c r="N787" s="30"/>
      <c r="O787" s="30"/>
      <c r="P787" s="30"/>
      <c r="Q787" s="30"/>
      <c r="R787" s="30"/>
      <c r="S787" s="30"/>
      <c r="T787" s="30"/>
      <c r="U787" s="30"/>
      <c r="V787" s="30"/>
      <c r="W787" s="30"/>
      <c r="X787" s="30"/>
      <c r="Y787" s="30"/>
      <c r="Z787" s="30"/>
      <c r="AA787" s="30"/>
      <c r="AB787" s="30"/>
      <c r="AC787" s="30"/>
    </row>
    <row r="788" ht="39.75" customHeight="1">
      <c r="A788" s="30"/>
      <c r="B788" s="31"/>
      <c r="C788" s="30"/>
      <c r="D788" s="30"/>
      <c r="E788" s="30"/>
      <c r="F788" s="30"/>
      <c r="G788" s="30"/>
      <c r="H788" s="30"/>
      <c r="I788" s="32"/>
      <c r="J788" s="30"/>
      <c r="K788" s="30"/>
      <c r="L788" s="30"/>
      <c r="M788" s="30"/>
      <c r="N788" s="30"/>
      <c r="O788" s="30"/>
      <c r="P788" s="30"/>
      <c r="Q788" s="30"/>
      <c r="R788" s="30"/>
      <c r="S788" s="30"/>
      <c r="T788" s="30"/>
      <c r="U788" s="30"/>
      <c r="V788" s="30"/>
      <c r="W788" s="30"/>
      <c r="X788" s="30"/>
      <c r="Y788" s="30"/>
      <c r="Z788" s="30"/>
      <c r="AA788" s="30"/>
      <c r="AB788" s="30"/>
      <c r="AC788" s="30"/>
    </row>
    <row r="789" ht="39.75" customHeight="1">
      <c r="A789" s="30"/>
      <c r="B789" s="31"/>
      <c r="C789" s="30"/>
      <c r="D789" s="30"/>
      <c r="E789" s="30"/>
      <c r="F789" s="30"/>
      <c r="G789" s="30"/>
      <c r="H789" s="30"/>
      <c r="I789" s="32"/>
      <c r="J789" s="30"/>
      <c r="K789" s="30"/>
      <c r="L789" s="30"/>
      <c r="M789" s="30"/>
      <c r="N789" s="30"/>
      <c r="O789" s="30"/>
      <c r="P789" s="30"/>
      <c r="Q789" s="30"/>
      <c r="R789" s="30"/>
      <c r="S789" s="30"/>
      <c r="T789" s="30"/>
      <c r="U789" s="30"/>
      <c r="V789" s="30"/>
      <c r="W789" s="30"/>
      <c r="X789" s="30"/>
      <c r="Y789" s="30"/>
      <c r="Z789" s="30"/>
      <c r="AA789" s="30"/>
      <c r="AB789" s="30"/>
      <c r="AC789" s="30"/>
    </row>
    <row r="790" ht="39.75" customHeight="1">
      <c r="A790" s="30"/>
      <c r="B790" s="31"/>
      <c r="C790" s="30"/>
      <c r="D790" s="30"/>
      <c r="E790" s="30"/>
      <c r="F790" s="30"/>
      <c r="G790" s="30"/>
      <c r="H790" s="30"/>
      <c r="I790" s="32"/>
      <c r="J790" s="30"/>
      <c r="K790" s="30"/>
      <c r="L790" s="30"/>
      <c r="M790" s="30"/>
      <c r="N790" s="30"/>
      <c r="O790" s="30"/>
      <c r="P790" s="30"/>
      <c r="Q790" s="30"/>
      <c r="R790" s="30"/>
      <c r="S790" s="30"/>
      <c r="T790" s="30"/>
      <c r="U790" s="30"/>
      <c r="V790" s="30"/>
      <c r="W790" s="30"/>
      <c r="X790" s="30"/>
      <c r="Y790" s="30"/>
      <c r="Z790" s="30"/>
      <c r="AA790" s="30"/>
      <c r="AB790" s="30"/>
      <c r="AC790" s="30"/>
    </row>
    <row r="791" ht="39.75" customHeight="1">
      <c r="A791" s="30"/>
      <c r="B791" s="31"/>
      <c r="C791" s="30"/>
      <c r="D791" s="30"/>
      <c r="E791" s="30"/>
      <c r="F791" s="30"/>
      <c r="G791" s="30"/>
      <c r="H791" s="30"/>
      <c r="I791" s="32"/>
      <c r="J791" s="30"/>
      <c r="K791" s="30"/>
      <c r="L791" s="30"/>
      <c r="M791" s="30"/>
      <c r="N791" s="30"/>
      <c r="O791" s="30"/>
      <c r="P791" s="30"/>
      <c r="Q791" s="30"/>
      <c r="R791" s="30"/>
      <c r="S791" s="30"/>
      <c r="T791" s="30"/>
      <c r="U791" s="30"/>
      <c r="V791" s="30"/>
      <c r="W791" s="30"/>
      <c r="X791" s="30"/>
      <c r="Y791" s="30"/>
      <c r="Z791" s="30"/>
      <c r="AA791" s="30"/>
      <c r="AB791" s="30"/>
      <c r="AC791" s="30"/>
    </row>
    <row r="792" ht="39.75" customHeight="1">
      <c r="A792" s="30"/>
      <c r="B792" s="31"/>
      <c r="C792" s="30"/>
      <c r="D792" s="30"/>
      <c r="E792" s="30"/>
      <c r="F792" s="30"/>
      <c r="G792" s="30"/>
      <c r="H792" s="30"/>
      <c r="I792" s="32"/>
      <c r="J792" s="30"/>
      <c r="K792" s="30"/>
      <c r="L792" s="30"/>
      <c r="M792" s="30"/>
      <c r="N792" s="30"/>
      <c r="O792" s="30"/>
      <c r="P792" s="30"/>
      <c r="Q792" s="30"/>
      <c r="R792" s="30"/>
      <c r="S792" s="30"/>
      <c r="T792" s="30"/>
      <c r="U792" s="30"/>
      <c r="V792" s="30"/>
      <c r="W792" s="30"/>
      <c r="X792" s="30"/>
      <c r="Y792" s="30"/>
      <c r="Z792" s="30"/>
      <c r="AA792" s="30"/>
      <c r="AB792" s="30"/>
      <c r="AC792" s="30"/>
    </row>
    <row r="793" ht="39.75" customHeight="1">
      <c r="A793" s="30"/>
      <c r="B793" s="31"/>
      <c r="C793" s="30"/>
      <c r="D793" s="30"/>
      <c r="E793" s="30"/>
      <c r="F793" s="30"/>
      <c r="G793" s="30"/>
      <c r="H793" s="30"/>
      <c r="I793" s="32"/>
      <c r="J793" s="30"/>
      <c r="K793" s="30"/>
      <c r="L793" s="30"/>
      <c r="M793" s="30"/>
      <c r="N793" s="30"/>
      <c r="O793" s="30"/>
      <c r="P793" s="30"/>
      <c r="Q793" s="30"/>
      <c r="R793" s="30"/>
      <c r="S793" s="30"/>
      <c r="T793" s="30"/>
      <c r="U793" s="30"/>
      <c r="V793" s="30"/>
      <c r="W793" s="30"/>
      <c r="X793" s="30"/>
      <c r="Y793" s="30"/>
      <c r="Z793" s="30"/>
      <c r="AA793" s="30"/>
      <c r="AB793" s="30"/>
      <c r="AC793" s="30"/>
    </row>
    <row r="794" ht="39.75" customHeight="1">
      <c r="A794" s="30"/>
      <c r="B794" s="31"/>
      <c r="C794" s="30"/>
      <c r="D794" s="30"/>
      <c r="E794" s="30"/>
      <c r="F794" s="30"/>
      <c r="G794" s="30"/>
      <c r="H794" s="30"/>
      <c r="I794" s="32"/>
      <c r="J794" s="30"/>
      <c r="K794" s="30"/>
      <c r="L794" s="30"/>
      <c r="M794" s="30"/>
      <c r="N794" s="30"/>
      <c r="O794" s="30"/>
      <c r="P794" s="30"/>
      <c r="Q794" s="30"/>
      <c r="R794" s="30"/>
      <c r="S794" s="30"/>
      <c r="T794" s="30"/>
      <c r="U794" s="30"/>
      <c r="V794" s="30"/>
      <c r="W794" s="30"/>
      <c r="X794" s="30"/>
      <c r="Y794" s="30"/>
      <c r="Z794" s="30"/>
      <c r="AA794" s="30"/>
      <c r="AB794" s="30"/>
      <c r="AC794" s="30"/>
    </row>
    <row r="795" ht="39.75" customHeight="1">
      <c r="A795" s="30"/>
      <c r="B795" s="31"/>
      <c r="C795" s="30"/>
      <c r="D795" s="30"/>
      <c r="E795" s="30"/>
      <c r="F795" s="30"/>
      <c r="G795" s="30"/>
      <c r="H795" s="30"/>
      <c r="I795" s="32"/>
      <c r="J795" s="30"/>
      <c r="K795" s="30"/>
      <c r="L795" s="30"/>
      <c r="M795" s="30"/>
      <c r="N795" s="30"/>
      <c r="O795" s="30"/>
      <c r="P795" s="30"/>
      <c r="Q795" s="30"/>
      <c r="R795" s="30"/>
      <c r="S795" s="30"/>
      <c r="T795" s="30"/>
      <c r="U795" s="30"/>
      <c r="V795" s="30"/>
      <c r="W795" s="30"/>
      <c r="X795" s="30"/>
      <c r="Y795" s="30"/>
      <c r="Z795" s="30"/>
      <c r="AA795" s="30"/>
      <c r="AB795" s="30"/>
      <c r="AC795" s="30"/>
    </row>
    <row r="796" ht="39.75" customHeight="1">
      <c r="A796" s="30"/>
      <c r="B796" s="31"/>
      <c r="C796" s="30"/>
      <c r="D796" s="30"/>
      <c r="E796" s="30"/>
      <c r="F796" s="30"/>
      <c r="G796" s="30"/>
      <c r="H796" s="30"/>
      <c r="I796" s="32"/>
      <c r="J796" s="30"/>
      <c r="K796" s="30"/>
      <c r="L796" s="30"/>
      <c r="M796" s="30"/>
      <c r="N796" s="30"/>
      <c r="O796" s="30"/>
      <c r="P796" s="30"/>
      <c r="Q796" s="30"/>
      <c r="R796" s="30"/>
      <c r="S796" s="30"/>
      <c r="T796" s="30"/>
      <c r="U796" s="30"/>
      <c r="V796" s="30"/>
      <c r="W796" s="30"/>
      <c r="X796" s="30"/>
      <c r="Y796" s="30"/>
      <c r="Z796" s="30"/>
      <c r="AA796" s="30"/>
      <c r="AB796" s="30"/>
      <c r="AC796" s="30"/>
    </row>
    <row r="797" ht="39.75" customHeight="1">
      <c r="A797" s="30"/>
      <c r="B797" s="31"/>
      <c r="C797" s="30"/>
      <c r="D797" s="30"/>
      <c r="E797" s="30"/>
      <c r="F797" s="30"/>
      <c r="G797" s="30"/>
      <c r="H797" s="30"/>
      <c r="I797" s="32"/>
      <c r="J797" s="30"/>
      <c r="K797" s="30"/>
      <c r="L797" s="30"/>
      <c r="M797" s="30"/>
      <c r="N797" s="30"/>
      <c r="O797" s="30"/>
      <c r="P797" s="30"/>
      <c r="Q797" s="30"/>
      <c r="R797" s="30"/>
      <c r="S797" s="30"/>
      <c r="T797" s="30"/>
      <c r="U797" s="30"/>
      <c r="V797" s="30"/>
      <c r="W797" s="30"/>
      <c r="X797" s="30"/>
      <c r="Y797" s="30"/>
      <c r="Z797" s="30"/>
      <c r="AA797" s="30"/>
      <c r="AB797" s="30"/>
      <c r="AC797" s="30"/>
    </row>
    <row r="798" ht="39.75" customHeight="1">
      <c r="A798" s="30"/>
      <c r="B798" s="31"/>
      <c r="C798" s="30"/>
      <c r="D798" s="30"/>
      <c r="E798" s="30"/>
      <c r="F798" s="30"/>
      <c r="G798" s="30"/>
      <c r="H798" s="30"/>
      <c r="I798" s="32"/>
      <c r="J798" s="30"/>
      <c r="K798" s="30"/>
      <c r="L798" s="30"/>
      <c r="M798" s="30"/>
      <c r="N798" s="30"/>
      <c r="O798" s="30"/>
      <c r="P798" s="30"/>
      <c r="Q798" s="30"/>
      <c r="R798" s="30"/>
      <c r="S798" s="30"/>
      <c r="T798" s="30"/>
      <c r="U798" s="30"/>
      <c r="V798" s="30"/>
      <c r="W798" s="30"/>
      <c r="X798" s="30"/>
      <c r="Y798" s="30"/>
      <c r="Z798" s="30"/>
      <c r="AA798" s="30"/>
      <c r="AB798" s="30"/>
      <c r="AC798" s="30"/>
    </row>
    <row r="799" ht="39.75" customHeight="1">
      <c r="A799" s="30"/>
      <c r="B799" s="31"/>
      <c r="C799" s="30"/>
      <c r="D799" s="30"/>
      <c r="E799" s="30"/>
      <c r="F799" s="30"/>
      <c r="G799" s="30"/>
      <c r="H799" s="30"/>
      <c r="I799" s="32"/>
      <c r="J799" s="30"/>
      <c r="K799" s="30"/>
      <c r="L799" s="30"/>
      <c r="M799" s="30"/>
      <c r="N799" s="30"/>
      <c r="O799" s="30"/>
      <c r="P799" s="30"/>
      <c r="Q799" s="30"/>
      <c r="R799" s="30"/>
      <c r="S799" s="30"/>
      <c r="T799" s="30"/>
      <c r="U799" s="30"/>
      <c r="V799" s="30"/>
      <c r="W799" s="30"/>
      <c r="X799" s="30"/>
      <c r="Y799" s="30"/>
      <c r="Z799" s="30"/>
      <c r="AA799" s="30"/>
      <c r="AB799" s="30"/>
      <c r="AC799" s="30"/>
    </row>
    <row r="800" ht="39.75" customHeight="1">
      <c r="A800" s="30"/>
      <c r="B800" s="31"/>
      <c r="C800" s="30"/>
      <c r="D800" s="30"/>
      <c r="E800" s="30"/>
      <c r="F800" s="30"/>
      <c r="G800" s="30"/>
      <c r="H800" s="30"/>
      <c r="I800" s="32"/>
      <c r="J800" s="30"/>
      <c r="K800" s="30"/>
      <c r="L800" s="30"/>
      <c r="M800" s="30"/>
      <c r="N800" s="30"/>
      <c r="O800" s="30"/>
      <c r="P800" s="30"/>
      <c r="Q800" s="30"/>
      <c r="R800" s="30"/>
      <c r="S800" s="30"/>
      <c r="T800" s="30"/>
      <c r="U800" s="30"/>
      <c r="V800" s="30"/>
      <c r="W800" s="30"/>
      <c r="X800" s="30"/>
      <c r="Y800" s="30"/>
      <c r="Z800" s="30"/>
      <c r="AA800" s="30"/>
      <c r="AB800" s="30"/>
      <c r="AC800" s="30"/>
    </row>
    <row r="801" ht="39.75" customHeight="1">
      <c r="A801" s="30"/>
      <c r="B801" s="31"/>
      <c r="C801" s="30"/>
      <c r="D801" s="30"/>
      <c r="E801" s="30"/>
      <c r="F801" s="30"/>
      <c r="G801" s="30"/>
      <c r="H801" s="30"/>
      <c r="I801" s="32"/>
      <c r="J801" s="30"/>
      <c r="K801" s="30"/>
      <c r="L801" s="30"/>
      <c r="M801" s="30"/>
      <c r="N801" s="30"/>
      <c r="O801" s="30"/>
      <c r="P801" s="30"/>
      <c r="Q801" s="30"/>
      <c r="R801" s="30"/>
      <c r="S801" s="30"/>
      <c r="T801" s="30"/>
      <c r="U801" s="30"/>
      <c r="V801" s="30"/>
      <c r="W801" s="30"/>
      <c r="X801" s="30"/>
      <c r="Y801" s="30"/>
      <c r="Z801" s="30"/>
      <c r="AA801" s="30"/>
      <c r="AB801" s="30"/>
      <c r="AC801" s="30"/>
    </row>
    <row r="802" ht="39.75" customHeight="1">
      <c r="A802" s="30"/>
      <c r="B802" s="31"/>
      <c r="C802" s="30"/>
      <c r="D802" s="30"/>
      <c r="E802" s="30"/>
      <c r="F802" s="30"/>
      <c r="G802" s="30"/>
      <c r="H802" s="30"/>
      <c r="I802" s="32"/>
      <c r="J802" s="30"/>
      <c r="K802" s="30"/>
      <c r="L802" s="30"/>
      <c r="M802" s="30"/>
      <c r="N802" s="30"/>
      <c r="O802" s="30"/>
      <c r="P802" s="30"/>
      <c r="Q802" s="30"/>
      <c r="R802" s="30"/>
      <c r="S802" s="30"/>
      <c r="T802" s="30"/>
      <c r="U802" s="30"/>
      <c r="V802" s="30"/>
      <c r="W802" s="30"/>
      <c r="X802" s="30"/>
      <c r="Y802" s="30"/>
      <c r="Z802" s="30"/>
      <c r="AA802" s="30"/>
      <c r="AB802" s="30"/>
      <c r="AC802" s="30"/>
    </row>
    <row r="803" ht="39.75" customHeight="1">
      <c r="A803" s="30"/>
      <c r="B803" s="31"/>
      <c r="C803" s="30"/>
      <c r="D803" s="30"/>
      <c r="E803" s="30"/>
      <c r="F803" s="30"/>
      <c r="G803" s="30"/>
      <c r="H803" s="30"/>
      <c r="I803" s="32"/>
      <c r="J803" s="30"/>
      <c r="K803" s="30"/>
      <c r="L803" s="30"/>
      <c r="M803" s="30"/>
      <c r="N803" s="30"/>
      <c r="O803" s="30"/>
      <c r="P803" s="30"/>
      <c r="Q803" s="30"/>
      <c r="R803" s="30"/>
      <c r="S803" s="30"/>
      <c r="T803" s="30"/>
      <c r="U803" s="30"/>
      <c r="V803" s="30"/>
      <c r="W803" s="30"/>
      <c r="X803" s="30"/>
      <c r="Y803" s="30"/>
      <c r="Z803" s="30"/>
      <c r="AA803" s="30"/>
      <c r="AB803" s="30"/>
      <c r="AC803" s="30"/>
    </row>
    <row r="804" ht="39.75" customHeight="1">
      <c r="A804" s="30"/>
      <c r="B804" s="31"/>
      <c r="C804" s="30"/>
      <c r="D804" s="30"/>
      <c r="E804" s="30"/>
      <c r="F804" s="30"/>
      <c r="G804" s="30"/>
      <c r="H804" s="30"/>
      <c r="I804" s="32"/>
      <c r="J804" s="30"/>
      <c r="K804" s="30"/>
      <c r="L804" s="30"/>
      <c r="M804" s="30"/>
      <c r="N804" s="30"/>
      <c r="O804" s="30"/>
      <c r="P804" s="30"/>
      <c r="Q804" s="30"/>
      <c r="R804" s="30"/>
      <c r="S804" s="30"/>
      <c r="T804" s="30"/>
      <c r="U804" s="30"/>
      <c r="V804" s="30"/>
      <c r="W804" s="30"/>
      <c r="X804" s="30"/>
      <c r="Y804" s="30"/>
      <c r="Z804" s="30"/>
      <c r="AA804" s="30"/>
      <c r="AB804" s="30"/>
      <c r="AC804" s="30"/>
    </row>
    <row r="805" ht="39.75" customHeight="1">
      <c r="A805" s="30"/>
      <c r="B805" s="31"/>
      <c r="C805" s="30"/>
      <c r="D805" s="30"/>
      <c r="E805" s="30"/>
      <c r="F805" s="30"/>
      <c r="G805" s="30"/>
      <c r="H805" s="30"/>
      <c r="I805" s="32"/>
      <c r="J805" s="30"/>
      <c r="K805" s="30"/>
      <c r="L805" s="30"/>
      <c r="M805" s="30"/>
      <c r="N805" s="30"/>
      <c r="O805" s="30"/>
      <c r="P805" s="30"/>
      <c r="Q805" s="30"/>
      <c r="R805" s="30"/>
      <c r="S805" s="30"/>
      <c r="T805" s="30"/>
      <c r="U805" s="30"/>
      <c r="V805" s="30"/>
      <c r="W805" s="30"/>
      <c r="X805" s="30"/>
      <c r="Y805" s="30"/>
      <c r="Z805" s="30"/>
      <c r="AA805" s="30"/>
      <c r="AB805" s="30"/>
      <c r="AC805" s="30"/>
    </row>
    <row r="806" ht="39.75" customHeight="1">
      <c r="A806" s="30"/>
      <c r="B806" s="31"/>
      <c r="C806" s="30"/>
      <c r="D806" s="30"/>
      <c r="E806" s="30"/>
      <c r="F806" s="30"/>
      <c r="G806" s="30"/>
      <c r="H806" s="30"/>
      <c r="I806" s="32"/>
      <c r="J806" s="30"/>
      <c r="K806" s="30"/>
      <c r="L806" s="30"/>
      <c r="M806" s="30"/>
      <c r="N806" s="30"/>
      <c r="O806" s="30"/>
      <c r="P806" s="30"/>
      <c r="Q806" s="30"/>
      <c r="R806" s="30"/>
      <c r="S806" s="30"/>
      <c r="T806" s="30"/>
      <c r="U806" s="30"/>
      <c r="V806" s="30"/>
      <c r="W806" s="30"/>
      <c r="X806" s="30"/>
      <c r="Y806" s="30"/>
      <c r="Z806" s="30"/>
      <c r="AA806" s="30"/>
      <c r="AB806" s="30"/>
      <c r="AC806" s="30"/>
    </row>
    <row r="807" ht="39.75" customHeight="1">
      <c r="A807" s="30"/>
      <c r="B807" s="31"/>
      <c r="C807" s="30"/>
      <c r="D807" s="30"/>
      <c r="E807" s="30"/>
      <c r="F807" s="30"/>
      <c r="G807" s="30"/>
      <c r="H807" s="30"/>
      <c r="I807" s="32"/>
      <c r="J807" s="30"/>
      <c r="K807" s="30"/>
      <c r="L807" s="30"/>
      <c r="M807" s="30"/>
      <c r="N807" s="30"/>
      <c r="O807" s="30"/>
      <c r="P807" s="30"/>
      <c r="Q807" s="30"/>
      <c r="R807" s="30"/>
      <c r="S807" s="30"/>
      <c r="T807" s="30"/>
      <c r="U807" s="30"/>
      <c r="V807" s="30"/>
      <c r="W807" s="30"/>
      <c r="X807" s="30"/>
      <c r="Y807" s="30"/>
      <c r="Z807" s="30"/>
      <c r="AA807" s="30"/>
      <c r="AB807" s="30"/>
      <c r="AC807" s="30"/>
    </row>
    <row r="808" ht="39.75" customHeight="1">
      <c r="A808" s="30"/>
      <c r="B808" s="31"/>
      <c r="C808" s="30"/>
      <c r="D808" s="30"/>
      <c r="E808" s="30"/>
      <c r="F808" s="30"/>
      <c r="G808" s="30"/>
      <c r="H808" s="30"/>
      <c r="I808" s="32"/>
      <c r="J808" s="30"/>
      <c r="K808" s="30"/>
      <c r="L808" s="30"/>
      <c r="M808" s="30"/>
      <c r="N808" s="30"/>
      <c r="O808" s="30"/>
      <c r="P808" s="30"/>
      <c r="Q808" s="30"/>
      <c r="R808" s="30"/>
      <c r="S808" s="30"/>
      <c r="T808" s="30"/>
      <c r="U808" s="30"/>
      <c r="V808" s="30"/>
      <c r="W808" s="30"/>
      <c r="X808" s="30"/>
      <c r="Y808" s="30"/>
      <c r="Z808" s="30"/>
      <c r="AA808" s="30"/>
      <c r="AB808" s="30"/>
      <c r="AC808" s="30"/>
    </row>
    <row r="809" ht="39.75" customHeight="1">
      <c r="A809" s="30"/>
      <c r="B809" s="31"/>
      <c r="C809" s="30"/>
      <c r="D809" s="30"/>
      <c r="E809" s="30"/>
      <c r="F809" s="30"/>
      <c r="G809" s="30"/>
      <c r="H809" s="30"/>
      <c r="I809" s="32"/>
      <c r="J809" s="30"/>
      <c r="K809" s="30"/>
      <c r="L809" s="30"/>
      <c r="M809" s="30"/>
      <c r="N809" s="30"/>
      <c r="O809" s="30"/>
      <c r="P809" s="30"/>
      <c r="Q809" s="30"/>
      <c r="R809" s="30"/>
      <c r="S809" s="30"/>
      <c r="T809" s="30"/>
      <c r="U809" s="30"/>
      <c r="V809" s="30"/>
      <c r="W809" s="30"/>
      <c r="X809" s="30"/>
      <c r="Y809" s="30"/>
      <c r="Z809" s="30"/>
      <c r="AA809" s="30"/>
      <c r="AB809" s="30"/>
      <c r="AC809" s="30"/>
    </row>
    <row r="810" ht="39.75" customHeight="1">
      <c r="A810" s="30"/>
      <c r="B810" s="31"/>
      <c r="C810" s="30"/>
      <c r="D810" s="30"/>
      <c r="E810" s="30"/>
      <c r="F810" s="30"/>
      <c r="G810" s="30"/>
      <c r="H810" s="30"/>
      <c r="I810" s="32"/>
      <c r="J810" s="30"/>
      <c r="K810" s="30"/>
      <c r="L810" s="30"/>
      <c r="M810" s="30"/>
      <c r="N810" s="30"/>
      <c r="O810" s="30"/>
      <c r="P810" s="30"/>
      <c r="Q810" s="30"/>
      <c r="R810" s="30"/>
      <c r="S810" s="30"/>
      <c r="T810" s="30"/>
      <c r="U810" s="30"/>
      <c r="V810" s="30"/>
      <c r="W810" s="30"/>
      <c r="X810" s="30"/>
      <c r="Y810" s="30"/>
      <c r="Z810" s="30"/>
      <c r="AA810" s="30"/>
      <c r="AB810" s="30"/>
      <c r="AC810" s="30"/>
    </row>
    <row r="811" ht="39.75" customHeight="1">
      <c r="A811" s="30"/>
      <c r="B811" s="31"/>
      <c r="C811" s="30"/>
      <c r="D811" s="30"/>
      <c r="E811" s="30"/>
      <c r="F811" s="30"/>
      <c r="G811" s="30"/>
      <c r="H811" s="30"/>
      <c r="I811" s="32"/>
      <c r="J811" s="30"/>
      <c r="K811" s="30"/>
      <c r="L811" s="30"/>
      <c r="M811" s="30"/>
      <c r="N811" s="30"/>
      <c r="O811" s="30"/>
      <c r="P811" s="30"/>
      <c r="Q811" s="30"/>
      <c r="R811" s="30"/>
      <c r="S811" s="30"/>
      <c r="T811" s="30"/>
      <c r="U811" s="30"/>
      <c r="V811" s="30"/>
      <c r="W811" s="30"/>
      <c r="X811" s="30"/>
      <c r="Y811" s="30"/>
      <c r="Z811" s="30"/>
      <c r="AA811" s="30"/>
      <c r="AB811" s="30"/>
      <c r="AC811" s="30"/>
    </row>
    <row r="812" ht="39.75" customHeight="1">
      <c r="A812" s="30"/>
      <c r="B812" s="31"/>
      <c r="C812" s="30"/>
      <c r="D812" s="30"/>
      <c r="E812" s="30"/>
      <c r="F812" s="30"/>
      <c r="G812" s="30"/>
      <c r="H812" s="30"/>
      <c r="I812" s="32"/>
      <c r="J812" s="30"/>
      <c r="K812" s="30"/>
      <c r="L812" s="30"/>
      <c r="M812" s="30"/>
      <c r="N812" s="30"/>
      <c r="O812" s="30"/>
      <c r="P812" s="30"/>
      <c r="Q812" s="30"/>
      <c r="R812" s="30"/>
      <c r="S812" s="30"/>
      <c r="T812" s="30"/>
      <c r="U812" s="30"/>
      <c r="V812" s="30"/>
      <c r="W812" s="30"/>
      <c r="X812" s="30"/>
      <c r="Y812" s="30"/>
      <c r="Z812" s="30"/>
      <c r="AA812" s="30"/>
      <c r="AB812" s="30"/>
      <c r="AC812" s="30"/>
    </row>
    <row r="813" ht="39.75" customHeight="1">
      <c r="A813" s="30"/>
      <c r="B813" s="31"/>
      <c r="C813" s="30"/>
      <c r="D813" s="30"/>
      <c r="E813" s="30"/>
      <c r="F813" s="30"/>
      <c r="G813" s="30"/>
      <c r="H813" s="30"/>
      <c r="I813" s="32"/>
      <c r="J813" s="30"/>
      <c r="K813" s="30"/>
      <c r="L813" s="30"/>
      <c r="M813" s="30"/>
      <c r="N813" s="30"/>
      <c r="O813" s="30"/>
      <c r="P813" s="30"/>
      <c r="Q813" s="30"/>
      <c r="R813" s="30"/>
      <c r="S813" s="30"/>
      <c r="T813" s="30"/>
      <c r="U813" s="30"/>
      <c r="V813" s="30"/>
      <c r="W813" s="30"/>
      <c r="X813" s="30"/>
      <c r="Y813" s="30"/>
      <c r="Z813" s="30"/>
      <c r="AA813" s="30"/>
      <c r="AB813" s="30"/>
      <c r="AC813" s="30"/>
    </row>
    <row r="814" ht="39.75" customHeight="1">
      <c r="A814" s="30"/>
      <c r="B814" s="31"/>
      <c r="C814" s="30"/>
      <c r="D814" s="30"/>
      <c r="E814" s="30"/>
      <c r="F814" s="30"/>
      <c r="G814" s="30"/>
      <c r="H814" s="30"/>
      <c r="I814" s="32"/>
      <c r="J814" s="30"/>
      <c r="K814" s="30"/>
      <c r="L814" s="30"/>
      <c r="M814" s="30"/>
      <c r="N814" s="30"/>
      <c r="O814" s="30"/>
      <c r="P814" s="30"/>
      <c r="Q814" s="30"/>
      <c r="R814" s="30"/>
      <c r="S814" s="30"/>
      <c r="T814" s="30"/>
      <c r="U814" s="30"/>
      <c r="V814" s="30"/>
      <c r="W814" s="30"/>
      <c r="X814" s="30"/>
      <c r="Y814" s="30"/>
      <c r="Z814" s="30"/>
      <c r="AA814" s="30"/>
      <c r="AB814" s="30"/>
      <c r="AC814" s="30"/>
    </row>
    <row r="815" ht="39.75" customHeight="1">
      <c r="A815" s="30"/>
      <c r="B815" s="31"/>
      <c r="C815" s="30"/>
      <c r="D815" s="30"/>
      <c r="E815" s="30"/>
      <c r="F815" s="30"/>
      <c r="G815" s="30"/>
      <c r="H815" s="30"/>
      <c r="I815" s="32"/>
      <c r="J815" s="30"/>
      <c r="K815" s="30"/>
      <c r="L815" s="30"/>
      <c r="M815" s="30"/>
      <c r="N815" s="30"/>
      <c r="O815" s="30"/>
      <c r="P815" s="30"/>
      <c r="Q815" s="30"/>
      <c r="R815" s="30"/>
      <c r="S815" s="30"/>
      <c r="T815" s="30"/>
      <c r="U815" s="30"/>
      <c r="V815" s="30"/>
      <c r="W815" s="30"/>
      <c r="X815" s="30"/>
      <c r="Y815" s="30"/>
      <c r="Z815" s="30"/>
      <c r="AA815" s="30"/>
      <c r="AB815" s="30"/>
      <c r="AC815" s="30"/>
    </row>
    <row r="816" ht="39.75" customHeight="1">
      <c r="A816" s="30"/>
      <c r="B816" s="31"/>
      <c r="C816" s="30"/>
      <c r="D816" s="30"/>
      <c r="E816" s="30"/>
      <c r="F816" s="30"/>
      <c r="G816" s="30"/>
      <c r="H816" s="30"/>
      <c r="I816" s="32"/>
      <c r="J816" s="30"/>
      <c r="K816" s="30"/>
      <c r="L816" s="30"/>
      <c r="M816" s="30"/>
      <c r="N816" s="30"/>
      <c r="O816" s="30"/>
      <c r="P816" s="30"/>
      <c r="Q816" s="30"/>
      <c r="R816" s="30"/>
      <c r="S816" s="30"/>
      <c r="T816" s="30"/>
      <c r="U816" s="30"/>
      <c r="V816" s="30"/>
      <c r="W816" s="30"/>
      <c r="X816" s="30"/>
      <c r="Y816" s="30"/>
      <c r="Z816" s="30"/>
      <c r="AA816" s="30"/>
      <c r="AB816" s="30"/>
      <c r="AC816" s="30"/>
    </row>
    <row r="817" ht="39.75" customHeight="1">
      <c r="A817" s="30"/>
      <c r="B817" s="31"/>
      <c r="C817" s="30"/>
      <c r="D817" s="30"/>
      <c r="E817" s="30"/>
      <c r="F817" s="30"/>
      <c r="G817" s="30"/>
      <c r="H817" s="30"/>
      <c r="I817" s="32"/>
      <c r="J817" s="30"/>
      <c r="K817" s="30"/>
      <c r="L817" s="30"/>
      <c r="M817" s="30"/>
      <c r="N817" s="30"/>
      <c r="O817" s="30"/>
      <c r="P817" s="30"/>
      <c r="Q817" s="30"/>
      <c r="R817" s="30"/>
      <c r="S817" s="30"/>
      <c r="T817" s="30"/>
      <c r="U817" s="30"/>
      <c r="V817" s="30"/>
      <c r="W817" s="30"/>
      <c r="X817" s="30"/>
      <c r="Y817" s="30"/>
      <c r="Z817" s="30"/>
      <c r="AA817" s="30"/>
      <c r="AB817" s="30"/>
      <c r="AC817" s="30"/>
    </row>
    <row r="818" ht="39.75" customHeight="1">
      <c r="A818" s="30"/>
      <c r="B818" s="31"/>
      <c r="C818" s="30"/>
      <c r="D818" s="30"/>
      <c r="E818" s="30"/>
      <c r="F818" s="30"/>
      <c r="G818" s="30"/>
      <c r="H818" s="30"/>
      <c r="I818" s="32"/>
      <c r="J818" s="30"/>
      <c r="K818" s="30"/>
      <c r="L818" s="30"/>
      <c r="M818" s="30"/>
      <c r="N818" s="30"/>
      <c r="O818" s="30"/>
      <c r="P818" s="30"/>
      <c r="Q818" s="30"/>
      <c r="R818" s="30"/>
      <c r="S818" s="30"/>
      <c r="T818" s="30"/>
      <c r="U818" s="30"/>
      <c r="V818" s="30"/>
      <c r="W818" s="30"/>
      <c r="X818" s="30"/>
      <c r="Y818" s="30"/>
      <c r="Z818" s="30"/>
      <c r="AA818" s="30"/>
      <c r="AB818" s="30"/>
      <c r="AC818" s="30"/>
    </row>
    <row r="819" ht="39.75" customHeight="1">
      <c r="A819" s="30"/>
      <c r="B819" s="31"/>
      <c r="C819" s="30"/>
      <c r="D819" s="30"/>
      <c r="E819" s="30"/>
      <c r="F819" s="30"/>
      <c r="G819" s="30"/>
      <c r="H819" s="30"/>
      <c r="I819" s="32"/>
      <c r="J819" s="30"/>
      <c r="K819" s="30"/>
      <c r="L819" s="30"/>
      <c r="M819" s="30"/>
      <c r="N819" s="30"/>
      <c r="O819" s="30"/>
      <c r="P819" s="30"/>
      <c r="Q819" s="30"/>
      <c r="R819" s="30"/>
      <c r="S819" s="30"/>
      <c r="T819" s="30"/>
      <c r="U819" s="30"/>
      <c r="V819" s="30"/>
      <c r="W819" s="30"/>
      <c r="X819" s="30"/>
      <c r="Y819" s="30"/>
      <c r="Z819" s="30"/>
      <c r="AA819" s="30"/>
      <c r="AB819" s="30"/>
      <c r="AC819" s="30"/>
    </row>
    <row r="820" ht="39.75" customHeight="1">
      <c r="A820" s="30"/>
      <c r="B820" s="31"/>
      <c r="C820" s="30"/>
      <c r="D820" s="30"/>
      <c r="E820" s="30"/>
      <c r="F820" s="30"/>
      <c r="G820" s="30"/>
      <c r="H820" s="30"/>
      <c r="I820" s="32"/>
      <c r="J820" s="30"/>
      <c r="K820" s="30"/>
      <c r="L820" s="30"/>
      <c r="M820" s="30"/>
      <c r="N820" s="30"/>
      <c r="O820" s="30"/>
      <c r="P820" s="30"/>
      <c r="Q820" s="30"/>
      <c r="R820" s="30"/>
      <c r="S820" s="30"/>
      <c r="T820" s="30"/>
      <c r="U820" s="30"/>
      <c r="V820" s="30"/>
      <c r="W820" s="30"/>
      <c r="X820" s="30"/>
      <c r="Y820" s="30"/>
      <c r="Z820" s="30"/>
      <c r="AA820" s="30"/>
      <c r="AB820" s="30"/>
      <c r="AC820" s="30"/>
    </row>
    <row r="821" ht="39.75" customHeight="1">
      <c r="A821" s="30"/>
      <c r="B821" s="31"/>
      <c r="C821" s="30"/>
      <c r="D821" s="30"/>
      <c r="E821" s="30"/>
      <c r="F821" s="30"/>
      <c r="G821" s="30"/>
      <c r="H821" s="30"/>
      <c r="I821" s="32"/>
      <c r="J821" s="30"/>
      <c r="K821" s="30"/>
      <c r="L821" s="30"/>
      <c r="M821" s="30"/>
      <c r="N821" s="30"/>
      <c r="O821" s="30"/>
      <c r="P821" s="30"/>
      <c r="Q821" s="30"/>
      <c r="R821" s="30"/>
      <c r="S821" s="30"/>
      <c r="T821" s="30"/>
      <c r="U821" s="30"/>
      <c r="V821" s="30"/>
      <c r="W821" s="30"/>
      <c r="X821" s="30"/>
      <c r="Y821" s="30"/>
      <c r="Z821" s="30"/>
      <c r="AA821" s="30"/>
      <c r="AB821" s="30"/>
      <c r="AC821" s="30"/>
    </row>
    <row r="822" ht="39.75" customHeight="1">
      <c r="A822" s="30"/>
      <c r="B822" s="31"/>
      <c r="C822" s="30"/>
      <c r="D822" s="30"/>
      <c r="E822" s="30"/>
      <c r="F822" s="30"/>
      <c r="G822" s="30"/>
      <c r="H822" s="30"/>
      <c r="I822" s="32"/>
      <c r="J822" s="30"/>
      <c r="K822" s="30"/>
      <c r="L822" s="30"/>
      <c r="M822" s="30"/>
      <c r="N822" s="30"/>
      <c r="O822" s="30"/>
      <c r="P822" s="30"/>
      <c r="Q822" s="30"/>
      <c r="R822" s="30"/>
      <c r="S822" s="30"/>
      <c r="T822" s="30"/>
      <c r="U822" s="30"/>
      <c r="V822" s="30"/>
      <c r="W822" s="30"/>
      <c r="X822" s="30"/>
      <c r="Y822" s="30"/>
      <c r="Z822" s="30"/>
      <c r="AA822" s="30"/>
      <c r="AB822" s="30"/>
      <c r="AC822" s="30"/>
    </row>
    <row r="823" ht="39.75" customHeight="1">
      <c r="A823" s="30"/>
      <c r="B823" s="31"/>
      <c r="C823" s="30"/>
      <c r="D823" s="30"/>
      <c r="E823" s="30"/>
      <c r="F823" s="30"/>
      <c r="G823" s="30"/>
      <c r="H823" s="30"/>
      <c r="I823" s="32"/>
      <c r="J823" s="30"/>
      <c r="K823" s="30"/>
      <c r="L823" s="30"/>
      <c r="M823" s="30"/>
      <c r="N823" s="30"/>
      <c r="O823" s="30"/>
      <c r="P823" s="30"/>
      <c r="Q823" s="30"/>
      <c r="R823" s="30"/>
      <c r="S823" s="30"/>
      <c r="T823" s="30"/>
      <c r="U823" s="30"/>
      <c r="V823" s="30"/>
      <c r="W823" s="30"/>
      <c r="X823" s="30"/>
      <c r="Y823" s="30"/>
      <c r="Z823" s="30"/>
      <c r="AA823" s="30"/>
      <c r="AB823" s="30"/>
      <c r="AC823" s="30"/>
    </row>
    <row r="824" ht="39.75" customHeight="1">
      <c r="A824" s="30"/>
      <c r="B824" s="31"/>
      <c r="C824" s="30"/>
      <c r="D824" s="30"/>
      <c r="E824" s="30"/>
      <c r="F824" s="30"/>
      <c r="G824" s="30"/>
      <c r="H824" s="30"/>
      <c r="I824" s="32"/>
      <c r="J824" s="30"/>
      <c r="K824" s="30"/>
      <c r="L824" s="30"/>
      <c r="M824" s="30"/>
      <c r="N824" s="30"/>
      <c r="O824" s="30"/>
      <c r="P824" s="30"/>
      <c r="Q824" s="30"/>
      <c r="R824" s="30"/>
      <c r="S824" s="30"/>
      <c r="T824" s="30"/>
      <c r="U824" s="30"/>
      <c r="V824" s="30"/>
      <c r="W824" s="30"/>
      <c r="X824" s="30"/>
      <c r="Y824" s="30"/>
      <c r="Z824" s="30"/>
      <c r="AA824" s="30"/>
      <c r="AB824" s="30"/>
      <c r="AC824" s="30"/>
    </row>
    <row r="825" ht="39.75" customHeight="1">
      <c r="A825" s="30"/>
      <c r="B825" s="31"/>
      <c r="C825" s="30"/>
      <c r="D825" s="30"/>
      <c r="E825" s="30"/>
      <c r="F825" s="30"/>
      <c r="G825" s="30"/>
      <c r="H825" s="30"/>
      <c r="I825" s="32"/>
      <c r="J825" s="30"/>
      <c r="K825" s="30"/>
      <c r="L825" s="30"/>
      <c r="M825" s="30"/>
      <c r="N825" s="30"/>
      <c r="O825" s="30"/>
      <c r="P825" s="30"/>
      <c r="Q825" s="30"/>
      <c r="R825" s="30"/>
      <c r="S825" s="30"/>
      <c r="T825" s="30"/>
      <c r="U825" s="30"/>
      <c r="V825" s="30"/>
      <c r="W825" s="30"/>
      <c r="X825" s="30"/>
      <c r="Y825" s="30"/>
      <c r="Z825" s="30"/>
      <c r="AA825" s="30"/>
      <c r="AB825" s="30"/>
      <c r="AC825" s="30"/>
    </row>
    <row r="826" ht="39.75" customHeight="1">
      <c r="A826" s="30"/>
      <c r="B826" s="31"/>
      <c r="C826" s="30"/>
      <c r="D826" s="30"/>
      <c r="E826" s="30"/>
      <c r="F826" s="30"/>
      <c r="G826" s="30"/>
      <c r="H826" s="30"/>
      <c r="I826" s="32"/>
      <c r="J826" s="30"/>
      <c r="K826" s="30"/>
      <c r="L826" s="30"/>
      <c r="M826" s="30"/>
      <c r="N826" s="30"/>
      <c r="O826" s="30"/>
      <c r="P826" s="30"/>
      <c r="Q826" s="30"/>
      <c r="R826" s="30"/>
      <c r="S826" s="30"/>
      <c r="T826" s="30"/>
      <c r="U826" s="30"/>
      <c r="V826" s="30"/>
      <c r="W826" s="30"/>
      <c r="X826" s="30"/>
      <c r="Y826" s="30"/>
      <c r="Z826" s="30"/>
      <c r="AA826" s="30"/>
      <c r="AB826" s="30"/>
      <c r="AC826" s="30"/>
    </row>
    <row r="827" ht="39.75" customHeight="1">
      <c r="A827" s="30"/>
      <c r="B827" s="31"/>
      <c r="C827" s="30"/>
      <c r="D827" s="30"/>
      <c r="E827" s="30"/>
      <c r="F827" s="30"/>
      <c r="G827" s="30"/>
      <c r="H827" s="30"/>
      <c r="I827" s="32"/>
      <c r="J827" s="30"/>
      <c r="K827" s="30"/>
      <c r="L827" s="30"/>
      <c r="M827" s="30"/>
      <c r="N827" s="30"/>
      <c r="O827" s="30"/>
      <c r="P827" s="30"/>
      <c r="Q827" s="30"/>
      <c r="R827" s="30"/>
      <c r="S827" s="30"/>
      <c r="T827" s="30"/>
      <c r="U827" s="30"/>
      <c r="V827" s="30"/>
      <c r="W827" s="30"/>
      <c r="X827" s="30"/>
      <c r="Y827" s="30"/>
      <c r="Z827" s="30"/>
      <c r="AA827" s="30"/>
      <c r="AB827" s="30"/>
      <c r="AC827" s="30"/>
    </row>
    <row r="828" ht="39.75" customHeight="1">
      <c r="A828" s="30"/>
      <c r="B828" s="31"/>
      <c r="C828" s="30"/>
      <c r="D828" s="30"/>
      <c r="E828" s="30"/>
      <c r="F828" s="30"/>
      <c r="G828" s="30"/>
      <c r="H828" s="30"/>
      <c r="I828" s="32"/>
      <c r="J828" s="30"/>
      <c r="K828" s="30"/>
      <c r="L828" s="30"/>
      <c r="M828" s="30"/>
      <c r="N828" s="30"/>
      <c r="O828" s="30"/>
      <c r="P828" s="30"/>
      <c r="Q828" s="30"/>
      <c r="R828" s="30"/>
      <c r="S828" s="30"/>
      <c r="T828" s="30"/>
      <c r="U828" s="30"/>
      <c r="V828" s="30"/>
      <c r="W828" s="30"/>
      <c r="X828" s="30"/>
      <c r="Y828" s="30"/>
      <c r="Z828" s="30"/>
      <c r="AA828" s="30"/>
      <c r="AB828" s="30"/>
      <c r="AC828" s="30"/>
    </row>
    <row r="829" ht="39.75" customHeight="1">
      <c r="A829" s="30"/>
      <c r="B829" s="31"/>
      <c r="C829" s="30"/>
      <c r="D829" s="30"/>
      <c r="E829" s="30"/>
      <c r="F829" s="30"/>
      <c r="G829" s="30"/>
      <c r="H829" s="30"/>
      <c r="I829" s="32"/>
      <c r="J829" s="30"/>
      <c r="K829" s="30"/>
      <c r="L829" s="30"/>
      <c r="M829" s="30"/>
      <c r="N829" s="30"/>
      <c r="O829" s="30"/>
      <c r="P829" s="30"/>
      <c r="Q829" s="30"/>
      <c r="R829" s="30"/>
      <c r="S829" s="30"/>
      <c r="T829" s="30"/>
      <c r="U829" s="30"/>
      <c r="V829" s="30"/>
      <c r="W829" s="30"/>
      <c r="X829" s="30"/>
      <c r="Y829" s="30"/>
      <c r="Z829" s="30"/>
      <c r="AA829" s="30"/>
      <c r="AB829" s="30"/>
      <c r="AC829" s="30"/>
    </row>
    <row r="830" ht="39.75" customHeight="1">
      <c r="A830" s="30"/>
      <c r="B830" s="31"/>
      <c r="C830" s="30"/>
      <c r="D830" s="30"/>
      <c r="E830" s="30"/>
      <c r="F830" s="30"/>
      <c r="G830" s="30"/>
      <c r="H830" s="30"/>
      <c r="I830" s="32"/>
      <c r="J830" s="30"/>
      <c r="K830" s="30"/>
      <c r="L830" s="30"/>
      <c r="M830" s="30"/>
      <c r="N830" s="30"/>
      <c r="O830" s="30"/>
      <c r="P830" s="30"/>
      <c r="Q830" s="30"/>
      <c r="R830" s="30"/>
      <c r="S830" s="30"/>
      <c r="T830" s="30"/>
      <c r="U830" s="30"/>
      <c r="V830" s="30"/>
      <c r="W830" s="30"/>
      <c r="X830" s="30"/>
      <c r="Y830" s="30"/>
      <c r="Z830" s="30"/>
      <c r="AA830" s="30"/>
      <c r="AB830" s="30"/>
      <c r="AC830" s="30"/>
    </row>
    <row r="831" ht="39.75" customHeight="1">
      <c r="A831" s="30"/>
      <c r="B831" s="31"/>
      <c r="C831" s="30"/>
      <c r="D831" s="30"/>
      <c r="E831" s="30"/>
      <c r="F831" s="30"/>
      <c r="G831" s="30"/>
      <c r="H831" s="30"/>
      <c r="I831" s="32"/>
      <c r="J831" s="30"/>
      <c r="K831" s="30"/>
      <c r="L831" s="30"/>
      <c r="M831" s="30"/>
      <c r="N831" s="30"/>
      <c r="O831" s="30"/>
      <c r="P831" s="30"/>
      <c r="Q831" s="30"/>
      <c r="R831" s="30"/>
      <c r="S831" s="30"/>
      <c r="T831" s="30"/>
      <c r="U831" s="30"/>
      <c r="V831" s="30"/>
      <c r="W831" s="30"/>
      <c r="X831" s="30"/>
      <c r="Y831" s="30"/>
      <c r="Z831" s="30"/>
      <c r="AA831" s="30"/>
      <c r="AB831" s="30"/>
      <c r="AC831" s="30"/>
    </row>
    <row r="832" ht="39.75" customHeight="1">
      <c r="A832" s="30"/>
      <c r="B832" s="31"/>
      <c r="C832" s="30"/>
      <c r="D832" s="30"/>
      <c r="E832" s="30"/>
      <c r="F832" s="30"/>
      <c r="G832" s="30"/>
      <c r="H832" s="30"/>
      <c r="I832" s="32"/>
      <c r="J832" s="30"/>
      <c r="K832" s="30"/>
      <c r="L832" s="30"/>
      <c r="M832" s="30"/>
      <c r="N832" s="30"/>
      <c r="O832" s="30"/>
      <c r="P832" s="30"/>
      <c r="Q832" s="30"/>
      <c r="R832" s="30"/>
      <c r="S832" s="30"/>
      <c r="T832" s="30"/>
      <c r="U832" s="30"/>
      <c r="V832" s="30"/>
      <c r="W832" s="30"/>
      <c r="X832" s="30"/>
      <c r="Y832" s="30"/>
      <c r="Z832" s="30"/>
      <c r="AA832" s="30"/>
      <c r="AB832" s="30"/>
      <c r="AC832" s="30"/>
    </row>
    <row r="833" ht="39.75" customHeight="1">
      <c r="A833" s="30"/>
      <c r="B833" s="31"/>
      <c r="C833" s="30"/>
      <c r="D833" s="30"/>
      <c r="E833" s="30"/>
      <c r="F833" s="30"/>
      <c r="G833" s="30"/>
      <c r="H833" s="30"/>
      <c r="I833" s="32"/>
      <c r="J833" s="30"/>
      <c r="K833" s="30"/>
      <c r="L833" s="30"/>
      <c r="M833" s="30"/>
      <c r="N833" s="30"/>
      <c r="O833" s="30"/>
      <c r="P833" s="30"/>
      <c r="Q833" s="30"/>
      <c r="R833" s="30"/>
      <c r="S833" s="30"/>
      <c r="T833" s="30"/>
      <c r="U833" s="30"/>
      <c r="V833" s="30"/>
      <c r="W833" s="30"/>
      <c r="X833" s="30"/>
      <c r="Y833" s="30"/>
      <c r="Z833" s="30"/>
      <c r="AA833" s="30"/>
      <c r="AB833" s="30"/>
      <c r="AC833" s="30"/>
    </row>
    <row r="834" ht="39.75" customHeight="1">
      <c r="A834" s="30"/>
      <c r="B834" s="31"/>
      <c r="C834" s="30"/>
      <c r="D834" s="30"/>
      <c r="E834" s="30"/>
      <c r="F834" s="30"/>
      <c r="G834" s="30"/>
      <c r="H834" s="30"/>
      <c r="I834" s="32"/>
      <c r="J834" s="30"/>
      <c r="K834" s="30"/>
      <c r="L834" s="30"/>
      <c r="M834" s="30"/>
      <c r="N834" s="30"/>
      <c r="O834" s="30"/>
      <c r="P834" s="30"/>
      <c r="Q834" s="30"/>
      <c r="R834" s="30"/>
      <c r="S834" s="30"/>
      <c r="T834" s="30"/>
      <c r="U834" s="30"/>
      <c r="V834" s="30"/>
      <c r="W834" s="30"/>
      <c r="X834" s="30"/>
      <c r="Y834" s="30"/>
      <c r="Z834" s="30"/>
      <c r="AA834" s="30"/>
      <c r="AB834" s="30"/>
      <c r="AC834" s="30"/>
    </row>
    <row r="835" ht="39.75" customHeight="1">
      <c r="A835" s="30"/>
      <c r="B835" s="31"/>
      <c r="C835" s="30"/>
      <c r="D835" s="30"/>
      <c r="E835" s="30"/>
      <c r="F835" s="30"/>
      <c r="G835" s="30"/>
      <c r="H835" s="30"/>
      <c r="I835" s="32"/>
      <c r="J835" s="30"/>
      <c r="K835" s="30"/>
      <c r="L835" s="30"/>
      <c r="M835" s="30"/>
      <c r="N835" s="30"/>
      <c r="O835" s="30"/>
      <c r="P835" s="30"/>
      <c r="Q835" s="30"/>
      <c r="R835" s="30"/>
      <c r="S835" s="30"/>
      <c r="T835" s="30"/>
      <c r="U835" s="30"/>
      <c r="V835" s="30"/>
      <c r="W835" s="30"/>
      <c r="X835" s="30"/>
      <c r="Y835" s="30"/>
      <c r="Z835" s="30"/>
      <c r="AA835" s="30"/>
      <c r="AB835" s="30"/>
      <c r="AC835" s="30"/>
    </row>
    <row r="836" ht="39.75" customHeight="1">
      <c r="A836" s="30"/>
      <c r="B836" s="31"/>
      <c r="C836" s="30"/>
      <c r="D836" s="30"/>
      <c r="E836" s="30"/>
      <c r="F836" s="30"/>
      <c r="G836" s="30"/>
      <c r="H836" s="30"/>
      <c r="I836" s="32"/>
      <c r="J836" s="30"/>
      <c r="K836" s="30"/>
      <c r="L836" s="30"/>
      <c r="M836" s="30"/>
      <c r="N836" s="30"/>
      <c r="O836" s="30"/>
      <c r="P836" s="30"/>
      <c r="Q836" s="30"/>
      <c r="R836" s="30"/>
      <c r="S836" s="30"/>
      <c r="T836" s="30"/>
      <c r="U836" s="30"/>
      <c r="V836" s="30"/>
      <c r="W836" s="30"/>
      <c r="X836" s="30"/>
      <c r="Y836" s="30"/>
      <c r="Z836" s="30"/>
      <c r="AA836" s="30"/>
      <c r="AB836" s="30"/>
      <c r="AC836" s="30"/>
    </row>
    <row r="837" ht="39.75" customHeight="1">
      <c r="A837" s="30"/>
      <c r="B837" s="31"/>
      <c r="C837" s="30"/>
      <c r="D837" s="30"/>
      <c r="E837" s="30"/>
      <c r="F837" s="30"/>
      <c r="G837" s="30"/>
      <c r="H837" s="30"/>
      <c r="I837" s="32"/>
      <c r="J837" s="30"/>
      <c r="K837" s="30"/>
      <c r="L837" s="30"/>
      <c r="M837" s="30"/>
      <c r="N837" s="30"/>
      <c r="O837" s="30"/>
      <c r="P837" s="30"/>
      <c r="Q837" s="30"/>
      <c r="R837" s="30"/>
      <c r="S837" s="30"/>
      <c r="T837" s="30"/>
      <c r="U837" s="30"/>
      <c r="V837" s="30"/>
      <c r="W837" s="30"/>
      <c r="X837" s="30"/>
      <c r="Y837" s="30"/>
      <c r="Z837" s="30"/>
      <c r="AA837" s="30"/>
      <c r="AB837" s="30"/>
      <c r="AC837" s="30"/>
    </row>
    <row r="838" ht="39.75" customHeight="1">
      <c r="A838" s="30"/>
      <c r="B838" s="31"/>
      <c r="C838" s="30"/>
      <c r="D838" s="30"/>
      <c r="E838" s="30"/>
      <c r="F838" s="30"/>
      <c r="G838" s="30"/>
      <c r="H838" s="30"/>
      <c r="I838" s="32"/>
      <c r="J838" s="30"/>
      <c r="K838" s="30"/>
      <c r="L838" s="30"/>
      <c r="M838" s="30"/>
      <c r="N838" s="30"/>
      <c r="O838" s="30"/>
      <c r="P838" s="30"/>
      <c r="Q838" s="30"/>
      <c r="R838" s="30"/>
      <c r="S838" s="30"/>
      <c r="T838" s="30"/>
      <c r="U838" s="30"/>
      <c r="V838" s="30"/>
      <c r="W838" s="30"/>
      <c r="X838" s="30"/>
      <c r="Y838" s="30"/>
      <c r="Z838" s="30"/>
      <c r="AA838" s="30"/>
      <c r="AB838" s="30"/>
      <c r="AC838" s="30"/>
    </row>
    <row r="839" ht="39.75" customHeight="1">
      <c r="A839" s="30"/>
      <c r="B839" s="31"/>
      <c r="C839" s="30"/>
      <c r="D839" s="30"/>
      <c r="E839" s="30"/>
      <c r="F839" s="30"/>
      <c r="G839" s="30"/>
      <c r="H839" s="30"/>
      <c r="I839" s="32"/>
      <c r="J839" s="30"/>
      <c r="K839" s="30"/>
      <c r="L839" s="30"/>
      <c r="M839" s="30"/>
      <c r="N839" s="30"/>
      <c r="O839" s="30"/>
      <c r="P839" s="30"/>
      <c r="Q839" s="30"/>
      <c r="R839" s="30"/>
      <c r="S839" s="30"/>
      <c r="T839" s="30"/>
      <c r="U839" s="30"/>
      <c r="V839" s="30"/>
      <c r="W839" s="30"/>
      <c r="X839" s="30"/>
      <c r="Y839" s="30"/>
      <c r="Z839" s="30"/>
      <c r="AA839" s="30"/>
      <c r="AB839" s="30"/>
      <c r="AC839" s="30"/>
    </row>
    <row r="840" ht="39.75" customHeight="1">
      <c r="A840" s="30"/>
      <c r="B840" s="31"/>
      <c r="C840" s="30"/>
      <c r="D840" s="30"/>
      <c r="E840" s="30"/>
      <c r="F840" s="30"/>
      <c r="G840" s="30"/>
      <c r="H840" s="30"/>
      <c r="I840" s="32"/>
      <c r="J840" s="30"/>
      <c r="K840" s="30"/>
      <c r="L840" s="30"/>
      <c r="M840" s="30"/>
      <c r="N840" s="30"/>
      <c r="O840" s="30"/>
      <c r="P840" s="30"/>
      <c r="Q840" s="30"/>
      <c r="R840" s="30"/>
      <c r="S840" s="30"/>
      <c r="T840" s="30"/>
      <c r="U840" s="30"/>
      <c r="V840" s="30"/>
      <c r="W840" s="30"/>
      <c r="X840" s="30"/>
      <c r="Y840" s="30"/>
      <c r="Z840" s="30"/>
      <c r="AA840" s="30"/>
      <c r="AB840" s="30"/>
      <c r="AC840" s="30"/>
    </row>
    <row r="841" ht="39.75" customHeight="1">
      <c r="A841" s="30"/>
      <c r="B841" s="31"/>
      <c r="C841" s="30"/>
      <c r="D841" s="30"/>
      <c r="E841" s="30"/>
      <c r="F841" s="30"/>
      <c r="G841" s="30"/>
      <c r="H841" s="30"/>
      <c r="I841" s="32"/>
      <c r="J841" s="30"/>
      <c r="K841" s="30"/>
      <c r="L841" s="30"/>
      <c r="M841" s="30"/>
      <c r="N841" s="30"/>
      <c r="O841" s="30"/>
      <c r="P841" s="30"/>
      <c r="Q841" s="30"/>
      <c r="R841" s="30"/>
      <c r="S841" s="30"/>
      <c r="T841" s="30"/>
      <c r="U841" s="30"/>
      <c r="V841" s="30"/>
      <c r="W841" s="30"/>
      <c r="X841" s="30"/>
      <c r="Y841" s="30"/>
      <c r="Z841" s="30"/>
      <c r="AA841" s="30"/>
      <c r="AB841" s="30"/>
      <c r="AC841" s="30"/>
    </row>
    <row r="842" ht="39.75" customHeight="1">
      <c r="A842" s="30"/>
      <c r="B842" s="31"/>
      <c r="C842" s="30"/>
      <c r="D842" s="30"/>
      <c r="E842" s="30"/>
      <c r="F842" s="30"/>
      <c r="G842" s="30"/>
      <c r="H842" s="30"/>
      <c r="I842" s="32"/>
      <c r="J842" s="30"/>
      <c r="K842" s="30"/>
      <c r="L842" s="30"/>
      <c r="M842" s="30"/>
      <c r="N842" s="30"/>
      <c r="O842" s="30"/>
      <c r="P842" s="30"/>
      <c r="Q842" s="30"/>
      <c r="R842" s="30"/>
      <c r="S842" s="30"/>
      <c r="T842" s="30"/>
      <c r="U842" s="30"/>
      <c r="V842" s="30"/>
      <c r="W842" s="30"/>
      <c r="X842" s="30"/>
      <c r="Y842" s="30"/>
      <c r="Z842" s="30"/>
      <c r="AA842" s="30"/>
      <c r="AB842" s="30"/>
      <c r="AC842" s="30"/>
    </row>
    <row r="843" ht="39.75" customHeight="1">
      <c r="A843" s="30"/>
      <c r="B843" s="31"/>
      <c r="C843" s="30"/>
      <c r="D843" s="30"/>
      <c r="E843" s="30"/>
      <c r="F843" s="30"/>
      <c r="G843" s="30"/>
      <c r="H843" s="30"/>
      <c r="I843" s="32"/>
      <c r="J843" s="30"/>
      <c r="K843" s="30"/>
      <c r="L843" s="30"/>
      <c r="M843" s="30"/>
      <c r="N843" s="30"/>
      <c r="O843" s="30"/>
      <c r="P843" s="30"/>
      <c r="Q843" s="30"/>
      <c r="R843" s="30"/>
      <c r="S843" s="30"/>
      <c r="T843" s="30"/>
      <c r="U843" s="30"/>
      <c r="V843" s="30"/>
      <c r="W843" s="30"/>
      <c r="X843" s="30"/>
      <c r="Y843" s="30"/>
      <c r="Z843" s="30"/>
      <c r="AA843" s="30"/>
      <c r="AB843" s="30"/>
      <c r="AC843" s="30"/>
    </row>
    <row r="844" ht="39.75" customHeight="1">
      <c r="A844" s="30"/>
      <c r="B844" s="31"/>
      <c r="C844" s="30"/>
      <c r="D844" s="30"/>
      <c r="E844" s="30"/>
      <c r="F844" s="30"/>
      <c r="G844" s="30"/>
      <c r="H844" s="30"/>
      <c r="I844" s="32"/>
      <c r="J844" s="30"/>
      <c r="K844" s="30"/>
      <c r="L844" s="30"/>
      <c r="M844" s="30"/>
      <c r="N844" s="30"/>
      <c r="O844" s="30"/>
      <c r="P844" s="30"/>
      <c r="Q844" s="30"/>
      <c r="R844" s="30"/>
      <c r="S844" s="30"/>
      <c r="T844" s="30"/>
      <c r="U844" s="30"/>
      <c r="V844" s="30"/>
      <c r="W844" s="30"/>
      <c r="X844" s="30"/>
      <c r="Y844" s="30"/>
      <c r="Z844" s="30"/>
      <c r="AA844" s="30"/>
      <c r="AB844" s="30"/>
      <c r="AC844" s="30"/>
    </row>
    <row r="845" ht="39.75" customHeight="1">
      <c r="A845" s="30"/>
      <c r="B845" s="31"/>
      <c r="C845" s="30"/>
      <c r="D845" s="30"/>
      <c r="E845" s="30"/>
      <c r="F845" s="30"/>
      <c r="G845" s="30"/>
      <c r="H845" s="30"/>
      <c r="I845" s="32"/>
      <c r="J845" s="30"/>
      <c r="K845" s="30"/>
      <c r="L845" s="30"/>
      <c r="M845" s="30"/>
      <c r="N845" s="30"/>
      <c r="O845" s="30"/>
      <c r="P845" s="30"/>
      <c r="Q845" s="30"/>
      <c r="R845" s="30"/>
      <c r="S845" s="30"/>
      <c r="T845" s="30"/>
      <c r="U845" s="30"/>
      <c r="V845" s="30"/>
      <c r="W845" s="30"/>
      <c r="X845" s="30"/>
      <c r="Y845" s="30"/>
      <c r="Z845" s="30"/>
      <c r="AA845" s="30"/>
      <c r="AB845" s="30"/>
      <c r="AC845" s="30"/>
    </row>
    <row r="846" ht="39.75" customHeight="1">
      <c r="A846" s="30"/>
      <c r="B846" s="31"/>
      <c r="C846" s="30"/>
      <c r="D846" s="30"/>
      <c r="E846" s="30"/>
      <c r="F846" s="30"/>
      <c r="G846" s="30"/>
      <c r="H846" s="30"/>
      <c r="I846" s="32"/>
      <c r="J846" s="30"/>
      <c r="K846" s="30"/>
      <c r="L846" s="30"/>
      <c r="M846" s="30"/>
      <c r="N846" s="30"/>
      <c r="O846" s="30"/>
      <c r="P846" s="30"/>
      <c r="Q846" s="30"/>
      <c r="R846" s="30"/>
      <c r="S846" s="30"/>
      <c r="T846" s="30"/>
      <c r="U846" s="30"/>
      <c r="V846" s="30"/>
      <c r="W846" s="30"/>
      <c r="X846" s="30"/>
      <c r="Y846" s="30"/>
      <c r="Z846" s="30"/>
      <c r="AA846" s="30"/>
      <c r="AB846" s="30"/>
      <c r="AC846" s="30"/>
    </row>
    <row r="847" ht="39.75" customHeight="1">
      <c r="A847" s="30"/>
      <c r="B847" s="31"/>
      <c r="C847" s="30"/>
      <c r="D847" s="30"/>
      <c r="E847" s="30"/>
      <c r="F847" s="30"/>
      <c r="G847" s="30"/>
      <c r="H847" s="30"/>
      <c r="I847" s="32"/>
      <c r="J847" s="30"/>
      <c r="K847" s="30"/>
      <c r="L847" s="30"/>
      <c r="M847" s="30"/>
      <c r="N847" s="30"/>
      <c r="O847" s="30"/>
      <c r="P847" s="30"/>
      <c r="Q847" s="30"/>
      <c r="R847" s="30"/>
      <c r="S847" s="30"/>
      <c r="T847" s="30"/>
      <c r="U847" s="30"/>
      <c r="V847" s="30"/>
      <c r="W847" s="30"/>
      <c r="X847" s="30"/>
      <c r="Y847" s="30"/>
      <c r="Z847" s="30"/>
      <c r="AA847" s="30"/>
      <c r="AB847" s="30"/>
      <c r="AC847" s="30"/>
    </row>
    <row r="848" ht="39.75" customHeight="1">
      <c r="A848" s="30"/>
      <c r="B848" s="31"/>
      <c r="C848" s="30"/>
      <c r="D848" s="30"/>
      <c r="E848" s="30"/>
      <c r="F848" s="30"/>
      <c r="G848" s="30"/>
      <c r="H848" s="30"/>
      <c r="I848" s="32"/>
      <c r="J848" s="30"/>
      <c r="K848" s="30"/>
      <c r="L848" s="30"/>
      <c r="M848" s="30"/>
      <c r="N848" s="30"/>
      <c r="O848" s="30"/>
      <c r="P848" s="30"/>
      <c r="Q848" s="30"/>
      <c r="R848" s="30"/>
      <c r="S848" s="30"/>
      <c r="T848" s="30"/>
      <c r="U848" s="30"/>
      <c r="V848" s="30"/>
      <c r="W848" s="30"/>
      <c r="X848" s="30"/>
      <c r="Y848" s="30"/>
      <c r="Z848" s="30"/>
      <c r="AA848" s="30"/>
      <c r="AB848" s="30"/>
      <c r="AC848" s="30"/>
    </row>
    <row r="849" ht="39.75" customHeight="1">
      <c r="A849" s="30"/>
      <c r="B849" s="31"/>
      <c r="C849" s="30"/>
      <c r="D849" s="30"/>
      <c r="E849" s="30"/>
      <c r="F849" s="30"/>
      <c r="G849" s="30"/>
      <c r="H849" s="30"/>
      <c r="I849" s="32"/>
      <c r="J849" s="30"/>
      <c r="K849" s="30"/>
      <c r="L849" s="30"/>
      <c r="M849" s="30"/>
      <c r="N849" s="30"/>
      <c r="O849" s="30"/>
      <c r="P849" s="30"/>
      <c r="Q849" s="30"/>
      <c r="R849" s="30"/>
      <c r="S849" s="30"/>
      <c r="T849" s="30"/>
      <c r="U849" s="30"/>
      <c r="V849" s="30"/>
      <c r="W849" s="30"/>
      <c r="X849" s="30"/>
      <c r="Y849" s="30"/>
      <c r="Z849" s="30"/>
      <c r="AA849" s="30"/>
      <c r="AB849" s="30"/>
      <c r="AC849" s="30"/>
    </row>
    <row r="850" ht="39.75" customHeight="1">
      <c r="A850" s="30"/>
      <c r="B850" s="31"/>
      <c r="C850" s="30"/>
      <c r="D850" s="30"/>
      <c r="E850" s="30"/>
      <c r="F850" s="30"/>
      <c r="G850" s="30"/>
      <c r="H850" s="30"/>
      <c r="I850" s="32"/>
      <c r="J850" s="30"/>
      <c r="K850" s="30"/>
      <c r="L850" s="30"/>
      <c r="M850" s="30"/>
      <c r="N850" s="30"/>
      <c r="O850" s="30"/>
      <c r="P850" s="30"/>
      <c r="Q850" s="30"/>
      <c r="R850" s="30"/>
      <c r="S850" s="30"/>
      <c r="T850" s="30"/>
      <c r="U850" s="30"/>
      <c r="V850" s="30"/>
      <c r="W850" s="30"/>
      <c r="X850" s="30"/>
      <c r="Y850" s="30"/>
      <c r="Z850" s="30"/>
      <c r="AA850" s="30"/>
      <c r="AB850" s="30"/>
      <c r="AC850" s="30"/>
    </row>
    <row r="851" ht="39.75" customHeight="1">
      <c r="A851" s="30"/>
      <c r="B851" s="31"/>
      <c r="C851" s="30"/>
      <c r="D851" s="30"/>
      <c r="E851" s="30"/>
      <c r="F851" s="30"/>
      <c r="G851" s="30"/>
      <c r="H851" s="30"/>
      <c r="I851" s="32"/>
      <c r="J851" s="30"/>
      <c r="K851" s="30"/>
      <c r="L851" s="30"/>
      <c r="M851" s="30"/>
      <c r="N851" s="30"/>
      <c r="O851" s="30"/>
      <c r="P851" s="30"/>
      <c r="Q851" s="30"/>
      <c r="R851" s="30"/>
      <c r="S851" s="30"/>
      <c r="T851" s="30"/>
      <c r="U851" s="30"/>
      <c r="V851" s="30"/>
      <c r="W851" s="30"/>
      <c r="X851" s="30"/>
      <c r="Y851" s="30"/>
      <c r="Z851" s="30"/>
      <c r="AA851" s="30"/>
      <c r="AB851" s="30"/>
      <c r="AC851" s="30"/>
    </row>
    <row r="852" ht="39.75" customHeight="1">
      <c r="A852" s="30"/>
      <c r="B852" s="31"/>
      <c r="C852" s="30"/>
      <c r="D852" s="30"/>
      <c r="E852" s="30"/>
      <c r="F852" s="30"/>
      <c r="G852" s="30"/>
      <c r="H852" s="30"/>
      <c r="I852" s="32"/>
      <c r="J852" s="30"/>
      <c r="K852" s="30"/>
      <c r="L852" s="30"/>
      <c r="M852" s="30"/>
      <c r="N852" s="30"/>
      <c r="O852" s="30"/>
      <c r="P852" s="30"/>
      <c r="Q852" s="30"/>
      <c r="R852" s="30"/>
      <c r="S852" s="30"/>
      <c r="T852" s="30"/>
      <c r="U852" s="30"/>
      <c r="V852" s="30"/>
      <c r="W852" s="30"/>
      <c r="X852" s="30"/>
      <c r="Y852" s="30"/>
      <c r="Z852" s="30"/>
      <c r="AA852" s="30"/>
      <c r="AB852" s="30"/>
      <c r="AC852" s="30"/>
    </row>
    <row r="853" ht="39.75" customHeight="1">
      <c r="A853" s="30"/>
      <c r="B853" s="31"/>
      <c r="C853" s="30"/>
      <c r="D853" s="30"/>
      <c r="E853" s="30"/>
      <c r="F853" s="30"/>
      <c r="G853" s="30"/>
      <c r="H853" s="30"/>
      <c r="I853" s="32"/>
      <c r="J853" s="30"/>
      <c r="K853" s="30"/>
      <c r="L853" s="30"/>
      <c r="M853" s="30"/>
      <c r="N853" s="30"/>
      <c r="O853" s="30"/>
      <c r="P853" s="30"/>
      <c r="Q853" s="30"/>
      <c r="R853" s="30"/>
      <c r="S853" s="30"/>
      <c r="T853" s="30"/>
      <c r="U853" s="30"/>
      <c r="V853" s="30"/>
      <c r="W853" s="30"/>
      <c r="X853" s="30"/>
      <c r="Y853" s="30"/>
      <c r="Z853" s="30"/>
      <c r="AA853" s="30"/>
      <c r="AB853" s="30"/>
      <c r="AC853" s="30"/>
    </row>
    <row r="854" ht="39.75" customHeight="1">
      <c r="A854" s="30"/>
      <c r="B854" s="31"/>
      <c r="C854" s="30"/>
      <c r="D854" s="30"/>
      <c r="E854" s="30"/>
      <c r="F854" s="30"/>
      <c r="G854" s="30"/>
      <c r="H854" s="30"/>
      <c r="I854" s="32"/>
      <c r="J854" s="30"/>
      <c r="K854" s="30"/>
      <c r="L854" s="30"/>
      <c r="M854" s="30"/>
      <c r="N854" s="30"/>
      <c r="O854" s="30"/>
      <c r="P854" s="30"/>
      <c r="Q854" s="30"/>
      <c r="R854" s="30"/>
      <c r="S854" s="30"/>
      <c r="T854" s="30"/>
      <c r="U854" s="30"/>
      <c r="V854" s="30"/>
      <c r="W854" s="30"/>
      <c r="X854" s="30"/>
      <c r="Y854" s="30"/>
      <c r="Z854" s="30"/>
      <c r="AA854" s="30"/>
      <c r="AB854" s="30"/>
      <c r="AC854" s="30"/>
    </row>
    <row r="855" ht="39.75" customHeight="1">
      <c r="A855" s="30"/>
      <c r="B855" s="31"/>
      <c r="C855" s="30"/>
      <c r="D855" s="30"/>
      <c r="E855" s="30"/>
      <c r="F855" s="30"/>
      <c r="G855" s="30"/>
      <c r="H855" s="30"/>
      <c r="I855" s="32"/>
      <c r="J855" s="30"/>
      <c r="K855" s="30"/>
      <c r="L855" s="30"/>
      <c r="M855" s="30"/>
      <c r="N855" s="30"/>
      <c r="O855" s="30"/>
      <c r="P855" s="30"/>
      <c r="Q855" s="30"/>
      <c r="R855" s="30"/>
      <c r="S855" s="30"/>
      <c r="T855" s="30"/>
      <c r="U855" s="30"/>
      <c r="V855" s="30"/>
      <c r="W855" s="30"/>
      <c r="X855" s="30"/>
      <c r="Y855" s="30"/>
      <c r="Z855" s="30"/>
      <c r="AA855" s="30"/>
      <c r="AB855" s="30"/>
      <c r="AC855" s="30"/>
    </row>
    <row r="856" ht="39.75" customHeight="1">
      <c r="A856" s="30"/>
      <c r="B856" s="31"/>
      <c r="C856" s="30"/>
      <c r="D856" s="30"/>
      <c r="E856" s="30"/>
      <c r="F856" s="30"/>
      <c r="G856" s="30"/>
      <c r="H856" s="30"/>
      <c r="I856" s="32"/>
      <c r="J856" s="30"/>
      <c r="K856" s="30"/>
      <c r="L856" s="30"/>
      <c r="M856" s="30"/>
      <c r="N856" s="30"/>
      <c r="O856" s="30"/>
      <c r="P856" s="30"/>
      <c r="Q856" s="30"/>
      <c r="R856" s="30"/>
      <c r="S856" s="30"/>
      <c r="T856" s="30"/>
      <c r="U856" s="30"/>
      <c r="V856" s="30"/>
      <c r="W856" s="30"/>
      <c r="X856" s="30"/>
      <c r="Y856" s="30"/>
      <c r="Z856" s="30"/>
      <c r="AA856" s="30"/>
      <c r="AB856" s="30"/>
      <c r="AC856" s="30"/>
    </row>
    <row r="857" ht="39.75" customHeight="1">
      <c r="A857" s="30"/>
      <c r="B857" s="31"/>
      <c r="C857" s="30"/>
      <c r="D857" s="30"/>
      <c r="E857" s="30"/>
      <c r="F857" s="30"/>
      <c r="G857" s="30"/>
      <c r="H857" s="30"/>
      <c r="I857" s="32"/>
      <c r="J857" s="30"/>
      <c r="K857" s="30"/>
      <c r="L857" s="30"/>
      <c r="M857" s="30"/>
      <c r="N857" s="30"/>
      <c r="O857" s="30"/>
      <c r="P857" s="30"/>
      <c r="Q857" s="30"/>
      <c r="R857" s="30"/>
      <c r="S857" s="30"/>
      <c r="T857" s="30"/>
      <c r="U857" s="30"/>
      <c r="V857" s="30"/>
      <c r="W857" s="30"/>
      <c r="X857" s="30"/>
      <c r="Y857" s="30"/>
      <c r="Z857" s="30"/>
      <c r="AA857" s="30"/>
      <c r="AB857" s="30"/>
      <c r="AC857" s="30"/>
    </row>
    <row r="858" ht="39.75" customHeight="1">
      <c r="A858" s="30"/>
      <c r="B858" s="31"/>
      <c r="C858" s="30"/>
      <c r="D858" s="30"/>
      <c r="E858" s="30"/>
      <c r="F858" s="30"/>
      <c r="G858" s="30"/>
      <c r="H858" s="30"/>
      <c r="I858" s="32"/>
      <c r="J858" s="30"/>
      <c r="K858" s="30"/>
      <c r="L858" s="30"/>
      <c r="M858" s="30"/>
      <c r="N858" s="30"/>
      <c r="O858" s="30"/>
      <c r="P858" s="30"/>
      <c r="Q858" s="30"/>
      <c r="R858" s="30"/>
      <c r="S858" s="30"/>
      <c r="T858" s="30"/>
      <c r="U858" s="30"/>
      <c r="V858" s="30"/>
      <c r="W858" s="30"/>
      <c r="X858" s="30"/>
      <c r="Y858" s="30"/>
      <c r="Z858" s="30"/>
      <c r="AA858" s="30"/>
      <c r="AB858" s="30"/>
      <c r="AC858" s="30"/>
    </row>
    <row r="859" ht="39.75" customHeight="1">
      <c r="A859" s="30"/>
      <c r="B859" s="31"/>
      <c r="C859" s="30"/>
      <c r="D859" s="30"/>
      <c r="E859" s="30"/>
      <c r="F859" s="30"/>
      <c r="G859" s="30"/>
      <c r="H859" s="30"/>
      <c r="I859" s="32"/>
      <c r="J859" s="30"/>
      <c r="K859" s="30"/>
      <c r="L859" s="30"/>
      <c r="M859" s="30"/>
      <c r="N859" s="30"/>
      <c r="O859" s="30"/>
      <c r="P859" s="30"/>
      <c r="Q859" s="30"/>
      <c r="R859" s="30"/>
      <c r="S859" s="30"/>
      <c r="T859" s="30"/>
      <c r="U859" s="30"/>
      <c r="V859" s="30"/>
      <c r="W859" s="30"/>
      <c r="X859" s="30"/>
      <c r="Y859" s="30"/>
      <c r="Z859" s="30"/>
      <c r="AA859" s="30"/>
      <c r="AB859" s="30"/>
      <c r="AC859" s="30"/>
    </row>
    <row r="860" ht="39.75" customHeight="1">
      <c r="A860" s="30"/>
      <c r="B860" s="31"/>
      <c r="C860" s="30"/>
      <c r="D860" s="30"/>
      <c r="E860" s="30"/>
      <c r="F860" s="30"/>
      <c r="G860" s="30"/>
      <c r="H860" s="30"/>
      <c r="I860" s="32"/>
      <c r="J860" s="30"/>
      <c r="K860" s="30"/>
      <c r="L860" s="30"/>
      <c r="M860" s="30"/>
      <c r="N860" s="30"/>
      <c r="O860" s="30"/>
      <c r="P860" s="30"/>
      <c r="Q860" s="30"/>
      <c r="R860" s="30"/>
      <c r="S860" s="30"/>
      <c r="T860" s="30"/>
      <c r="U860" s="30"/>
      <c r="V860" s="30"/>
      <c r="W860" s="30"/>
      <c r="X860" s="30"/>
      <c r="Y860" s="30"/>
      <c r="Z860" s="30"/>
      <c r="AA860" s="30"/>
      <c r="AB860" s="30"/>
      <c r="AC860" s="30"/>
    </row>
    <row r="861" ht="39.75" customHeight="1">
      <c r="A861" s="30"/>
      <c r="B861" s="31"/>
      <c r="C861" s="30"/>
      <c r="D861" s="30"/>
      <c r="E861" s="30"/>
      <c r="F861" s="30"/>
      <c r="G861" s="30"/>
      <c r="H861" s="30"/>
      <c r="I861" s="32"/>
      <c r="J861" s="30"/>
      <c r="K861" s="30"/>
      <c r="L861" s="30"/>
      <c r="M861" s="30"/>
      <c r="N861" s="30"/>
      <c r="O861" s="30"/>
      <c r="P861" s="30"/>
      <c r="Q861" s="30"/>
      <c r="R861" s="30"/>
      <c r="S861" s="30"/>
      <c r="T861" s="30"/>
      <c r="U861" s="30"/>
      <c r="V861" s="30"/>
      <c r="W861" s="30"/>
      <c r="X861" s="30"/>
      <c r="Y861" s="30"/>
      <c r="Z861" s="30"/>
      <c r="AA861" s="30"/>
      <c r="AB861" s="30"/>
      <c r="AC861" s="30"/>
    </row>
    <row r="862" ht="39.75" customHeight="1">
      <c r="A862" s="30"/>
      <c r="B862" s="31"/>
      <c r="C862" s="30"/>
      <c r="D862" s="30"/>
      <c r="E862" s="30"/>
      <c r="F862" s="30"/>
      <c r="G862" s="30"/>
      <c r="H862" s="30"/>
      <c r="I862" s="32"/>
      <c r="J862" s="30"/>
      <c r="K862" s="30"/>
      <c r="L862" s="30"/>
      <c r="M862" s="30"/>
      <c r="N862" s="30"/>
      <c r="O862" s="30"/>
      <c r="P862" s="30"/>
      <c r="Q862" s="30"/>
      <c r="R862" s="30"/>
      <c r="S862" s="30"/>
      <c r="T862" s="30"/>
      <c r="U862" s="30"/>
      <c r="V862" s="30"/>
      <c r="W862" s="30"/>
      <c r="X862" s="30"/>
      <c r="Y862" s="30"/>
      <c r="Z862" s="30"/>
      <c r="AA862" s="30"/>
      <c r="AB862" s="30"/>
      <c r="AC862" s="30"/>
    </row>
    <row r="863" ht="39.75" customHeight="1">
      <c r="A863" s="30"/>
      <c r="B863" s="31"/>
      <c r="C863" s="30"/>
      <c r="D863" s="30"/>
      <c r="E863" s="30"/>
      <c r="F863" s="30"/>
      <c r="G863" s="30"/>
      <c r="H863" s="30"/>
      <c r="I863" s="32"/>
      <c r="J863" s="30"/>
      <c r="K863" s="30"/>
      <c r="L863" s="30"/>
      <c r="M863" s="30"/>
      <c r="N863" s="30"/>
      <c r="O863" s="30"/>
      <c r="P863" s="30"/>
      <c r="Q863" s="30"/>
      <c r="R863" s="30"/>
      <c r="S863" s="30"/>
      <c r="T863" s="30"/>
      <c r="U863" s="30"/>
      <c r="V863" s="30"/>
      <c r="W863" s="30"/>
      <c r="X863" s="30"/>
      <c r="Y863" s="30"/>
      <c r="Z863" s="30"/>
      <c r="AA863" s="30"/>
      <c r="AB863" s="30"/>
      <c r="AC863" s="30"/>
    </row>
    <row r="864" ht="39.75" customHeight="1">
      <c r="A864" s="30"/>
      <c r="B864" s="31"/>
      <c r="C864" s="30"/>
      <c r="D864" s="30"/>
      <c r="E864" s="30"/>
      <c r="F864" s="30"/>
      <c r="G864" s="30"/>
      <c r="H864" s="30"/>
      <c r="I864" s="32"/>
      <c r="J864" s="30"/>
      <c r="K864" s="30"/>
      <c r="L864" s="30"/>
      <c r="M864" s="30"/>
      <c r="N864" s="30"/>
      <c r="O864" s="30"/>
      <c r="P864" s="30"/>
      <c r="Q864" s="30"/>
      <c r="R864" s="30"/>
      <c r="S864" s="30"/>
      <c r="T864" s="30"/>
      <c r="U864" s="30"/>
      <c r="V864" s="30"/>
      <c r="W864" s="30"/>
      <c r="X864" s="30"/>
      <c r="Y864" s="30"/>
      <c r="Z864" s="30"/>
      <c r="AA864" s="30"/>
      <c r="AB864" s="30"/>
      <c r="AC864" s="30"/>
    </row>
    <row r="865" ht="39.75" customHeight="1">
      <c r="A865" s="30"/>
      <c r="B865" s="31"/>
      <c r="C865" s="30"/>
      <c r="D865" s="30"/>
      <c r="E865" s="30"/>
      <c r="F865" s="30"/>
      <c r="G865" s="30"/>
      <c r="H865" s="30"/>
      <c r="I865" s="32"/>
      <c r="J865" s="30"/>
      <c r="K865" s="30"/>
      <c r="L865" s="30"/>
      <c r="M865" s="30"/>
      <c r="N865" s="30"/>
      <c r="O865" s="30"/>
      <c r="P865" s="30"/>
      <c r="Q865" s="30"/>
      <c r="R865" s="30"/>
      <c r="S865" s="30"/>
      <c r="T865" s="30"/>
      <c r="U865" s="30"/>
      <c r="V865" s="30"/>
      <c r="W865" s="30"/>
      <c r="X865" s="30"/>
      <c r="Y865" s="30"/>
      <c r="Z865" s="30"/>
      <c r="AA865" s="30"/>
      <c r="AB865" s="30"/>
      <c r="AC865" s="30"/>
    </row>
    <row r="866" ht="39.75" customHeight="1">
      <c r="A866" s="30"/>
      <c r="B866" s="31"/>
      <c r="C866" s="30"/>
      <c r="D866" s="30"/>
      <c r="E866" s="30"/>
      <c r="F866" s="30"/>
      <c r="G866" s="30"/>
      <c r="H866" s="30"/>
      <c r="I866" s="32"/>
      <c r="J866" s="30"/>
      <c r="K866" s="30"/>
      <c r="L866" s="30"/>
      <c r="M866" s="30"/>
      <c r="N866" s="30"/>
      <c r="O866" s="30"/>
      <c r="P866" s="30"/>
      <c r="Q866" s="30"/>
      <c r="R866" s="30"/>
      <c r="S866" s="30"/>
      <c r="T866" s="30"/>
      <c r="U866" s="30"/>
      <c r="V866" s="30"/>
      <c r="W866" s="30"/>
      <c r="X866" s="30"/>
      <c r="Y866" s="30"/>
      <c r="Z866" s="30"/>
      <c r="AA866" s="30"/>
      <c r="AB866" s="30"/>
      <c r="AC866" s="30"/>
    </row>
    <row r="867" ht="39.75" customHeight="1">
      <c r="A867" s="30"/>
      <c r="B867" s="31"/>
      <c r="C867" s="30"/>
      <c r="D867" s="30"/>
      <c r="E867" s="30"/>
      <c r="F867" s="30"/>
      <c r="G867" s="30"/>
      <c r="H867" s="30"/>
      <c r="I867" s="32"/>
      <c r="J867" s="30"/>
      <c r="K867" s="30"/>
      <c r="L867" s="30"/>
      <c r="M867" s="30"/>
      <c r="N867" s="30"/>
      <c r="O867" s="30"/>
      <c r="P867" s="30"/>
      <c r="Q867" s="30"/>
      <c r="R867" s="30"/>
      <c r="S867" s="30"/>
      <c r="T867" s="30"/>
      <c r="U867" s="30"/>
      <c r="V867" s="30"/>
      <c r="W867" s="30"/>
      <c r="X867" s="30"/>
      <c r="Y867" s="30"/>
      <c r="Z867" s="30"/>
      <c r="AA867" s="30"/>
      <c r="AB867" s="30"/>
      <c r="AC867" s="30"/>
    </row>
    <row r="868" ht="39.75" customHeight="1">
      <c r="A868" s="30"/>
      <c r="B868" s="31"/>
      <c r="C868" s="30"/>
      <c r="D868" s="30"/>
      <c r="E868" s="30"/>
      <c r="F868" s="30"/>
      <c r="G868" s="30"/>
      <c r="H868" s="30"/>
      <c r="I868" s="32"/>
      <c r="J868" s="30"/>
      <c r="K868" s="30"/>
      <c r="L868" s="30"/>
      <c r="M868" s="30"/>
      <c r="N868" s="30"/>
      <c r="O868" s="30"/>
      <c r="P868" s="30"/>
      <c r="Q868" s="30"/>
      <c r="R868" s="30"/>
      <c r="S868" s="30"/>
      <c r="T868" s="30"/>
      <c r="U868" s="30"/>
      <c r="V868" s="30"/>
      <c r="W868" s="30"/>
      <c r="X868" s="30"/>
      <c r="Y868" s="30"/>
      <c r="Z868" s="30"/>
      <c r="AA868" s="30"/>
      <c r="AB868" s="30"/>
      <c r="AC868" s="30"/>
    </row>
    <row r="869" ht="39.75" customHeight="1">
      <c r="A869" s="30"/>
      <c r="B869" s="31"/>
      <c r="C869" s="30"/>
      <c r="D869" s="30"/>
      <c r="E869" s="30"/>
      <c r="F869" s="30"/>
      <c r="G869" s="30"/>
      <c r="H869" s="30"/>
      <c r="I869" s="32"/>
      <c r="J869" s="30"/>
      <c r="K869" s="30"/>
      <c r="L869" s="30"/>
      <c r="M869" s="30"/>
      <c r="N869" s="30"/>
      <c r="O869" s="30"/>
      <c r="P869" s="30"/>
      <c r="Q869" s="30"/>
      <c r="R869" s="30"/>
      <c r="S869" s="30"/>
      <c r="T869" s="30"/>
      <c r="U869" s="30"/>
      <c r="V869" s="30"/>
      <c r="W869" s="30"/>
      <c r="X869" s="30"/>
      <c r="Y869" s="30"/>
      <c r="Z869" s="30"/>
      <c r="AA869" s="30"/>
      <c r="AB869" s="30"/>
      <c r="AC869" s="30"/>
    </row>
    <row r="870" ht="39.75" customHeight="1">
      <c r="A870" s="30"/>
      <c r="B870" s="31"/>
      <c r="C870" s="30"/>
      <c r="D870" s="30"/>
      <c r="E870" s="30"/>
      <c r="F870" s="30"/>
      <c r="G870" s="30"/>
      <c r="H870" s="30"/>
      <c r="I870" s="32"/>
      <c r="J870" s="30"/>
      <c r="K870" s="30"/>
      <c r="L870" s="30"/>
      <c r="M870" s="30"/>
      <c r="N870" s="30"/>
      <c r="O870" s="30"/>
      <c r="P870" s="30"/>
      <c r="Q870" s="30"/>
      <c r="R870" s="30"/>
      <c r="S870" s="30"/>
      <c r="T870" s="30"/>
      <c r="U870" s="30"/>
      <c r="V870" s="30"/>
      <c r="W870" s="30"/>
      <c r="X870" s="30"/>
      <c r="Y870" s="30"/>
      <c r="Z870" s="30"/>
      <c r="AA870" s="30"/>
      <c r="AB870" s="30"/>
      <c r="AC870" s="30"/>
    </row>
    <row r="871" ht="39.75" customHeight="1">
      <c r="A871" s="30"/>
      <c r="B871" s="31"/>
      <c r="C871" s="30"/>
      <c r="D871" s="30"/>
      <c r="E871" s="30"/>
      <c r="F871" s="30"/>
      <c r="G871" s="30"/>
      <c r="H871" s="30"/>
      <c r="I871" s="32"/>
      <c r="J871" s="30"/>
      <c r="K871" s="30"/>
      <c r="L871" s="30"/>
      <c r="M871" s="30"/>
      <c r="N871" s="30"/>
      <c r="O871" s="30"/>
      <c r="P871" s="30"/>
      <c r="Q871" s="30"/>
      <c r="R871" s="30"/>
      <c r="S871" s="30"/>
      <c r="T871" s="30"/>
      <c r="U871" s="30"/>
      <c r="V871" s="30"/>
      <c r="W871" s="30"/>
      <c r="X871" s="30"/>
      <c r="Y871" s="30"/>
      <c r="Z871" s="30"/>
      <c r="AA871" s="30"/>
      <c r="AB871" s="30"/>
      <c r="AC871" s="30"/>
    </row>
    <row r="872" ht="39.75" customHeight="1">
      <c r="A872" s="30"/>
      <c r="B872" s="31"/>
      <c r="C872" s="30"/>
      <c r="D872" s="30"/>
      <c r="E872" s="30"/>
      <c r="F872" s="30"/>
      <c r="G872" s="30"/>
      <c r="H872" s="30"/>
      <c r="I872" s="32"/>
      <c r="J872" s="30"/>
      <c r="K872" s="30"/>
      <c r="L872" s="30"/>
      <c r="M872" s="30"/>
      <c r="N872" s="30"/>
      <c r="O872" s="30"/>
      <c r="P872" s="30"/>
      <c r="Q872" s="30"/>
      <c r="R872" s="30"/>
      <c r="S872" s="30"/>
      <c r="T872" s="30"/>
      <c r="U872" s="30"/>
      <c r="V872" s="30"/>
      <c r="W872" s="30"/>
      <c r="X872" s="30"/>
      <c r="Y872" s="30"/>
      <c r="Z872" s="30"/>
      <c r="AA872" s="30"/>
      <c r="AB872" s="30"/>
      <c r="AC872" s="30"/>
    </row>
    <row r="873" ht="39.75" customHeight="1">
      <c r="A873" s="30"/>
      <c r="B873" s="31"/>
      <c r="C873" s="30"/>
      <c r="D873" s="30"/>
      <c r="E873" s="30"/>
      <c r="F873" s="30"/>
      <c r="G873" s="30"/>
      <c r="H873" s="30"/>
      <c r="I873" s="32"/>
      <c r="J873" s="30"/>
      <c r="K873" s="30"/>
      <c r="L873" s="30"/>
      <c r="M873" s="30"/>
      <c r="N873" s="30"/>
      <c r="O873" s="30"/>
      <c r="P873" s="30"/>
      <c r="Q873" s="30"/>
      <c r="R873" s="30"/>
      <c r="S873" s="30"/>
      <c r="T873" s="30"/>
      <c r="U873" s="30"/>
      <c r="V873" s="30"/>
      <c r="W873" s="30"/>
      <c r="X873" s="30"/>
      <c r="Y873" s="30"/>
      <c r="Z873" s="30"/>
      <c r="AA873" s="30"/>
      <c r="AB873" s="30"/>
      <c r="AC873" s="30"/>
    </row>
    <row r="874" ht="39.75" customHeight="1">
      <c r="A874" s="30"/>
      <c r="B874" s="31"/>
      <c r="C874" s="30"/>
      <c r="D874" s="30"/>
      <c r="E874" s="30"/>
      <c r="F874" s="30"/>
      <c r="G874" s="30"/>
      <c r="H874" s="30"/>
      <c r="I874" s="32"/>
      <c r="J874" s="30"/>
      <c r="K874" s="30"/>
      <c r="L874" s="30"/>
      <c r="M874" s="30"/>
      <c r="N874" s="30"/>
      <c r="O874" s="30"/>
      <c r="P874" s="30"/>
      <c r="Q874" s="30"/>
      <c r="R874" s="30"/>
      <c r="S874" s="30"/>
      <c r="T874" s="30"/>
      <c r="U874" s="30"/>
      <c r="V874" s="30"/>
      <c r="W874" s="30"/>
      <c r="X874" s="30"/>
      <c r="Y874" s="30"/>
      <c r="Z874" s="30"/>
      <c r="AA874" s="30"/>
      <c r="AB874" s="30"/>
      <c r="AC874" s="30"/>
    </row>
    <row r="875" ht="39.75" customHeight="1">
      <c r="A875" s="30"/>
      <c r="B875" s="31"/>
      <c r="C875" s="30"/>
      <c r="D875" s="30"/>
      <c r="E875" s="30"/>
      <c r="F875" s="30"/>
      <c r="G875" s="30"/>
      <c r="H875" s="30"/>
      <c r="I875" s="32"/>
      <c r="J875" s="30"/>
      <c r="K875" s="30"/>
      <c r="L875" s="30"/>
      <c r="M875" s="30"/>
      <c r="N875" s="30"/>
      <c r="O875" s="30"/>
      <c r="P875" s="30"/>
      <c r="Q875" s="30"/>
      <c r="R875" s="30"/>
      <c r="S875" s="30"/>
      <c r="T875" s="30"/>
      <c r="U875" s="30"/>
      <c r="V875" s="30"/>
      <c r="W875" s="30"/>
      <c r="X875" s="30"/>
      <c r="Y875" s="30"/>
      <c r="Z875" s="30"/>
      <c r="AA875" s="30"/>
      <c r="AB875" s="30"/>
      <c r="AC875" s="30"/>
    </row>
    <row r="876" ht="39.75" customHeight="1">
      <c r="A876" s="30"/>
      <c r="B876" s="31"/>
      <c r="C876" s="30"/>
      <c r="D876" s="30"/>
      <c r="E876" s="30"/>
      <c r="F876" s="30"/>
      <c r="G876" s="30"/>
      <c r="H876" s="30"/>
      <c r="I876" s="32"/>
      <c r="J876" s="30"/>
      <c r="K876" s="30"/>
      <c r="L876" s="30"/>
      <c r="M876" s="30"/>
      <c r="N876" s="30"/>
      <c r="O876" s="30"/>
      <c r="P876" s="30"/>
      <c r="Q876" s="30"/>
      <c r="R876" s="30"/>
      <c r="S876" s="30"/>
      <c r="T876" s="30"/>
      <c r="U876" s="30"/>
      <c r="V876" s="30"/>
      <c r="W876" s="30"/>
      <c r="X876" s="30"/>
      <c r="Y876" s="30"/>
      <c r="Z876" s="30"/>
      <c r="AA876" s="30"/>
      <c r="AB876" s="30"/>
      <c r="AC876" s="30"/>
    </row>
    <row r="877" ht="39.75" customHeight="1">
      <c r="A877" s="30"/>
      <c r="B877" s="31"/>
      <c r="C877" s="30"/>
      <c r="D877" s="30"/>
      <c r="E877" s="30"/>
      <c r="F877" s="30"/>
      <c r="G877" s="30"/>
      <c r="H877" s="30"/>
      <c r="I877" s="32"/>
      <c r="J877" s="30"/>
      <c r="K877" s="30"/>
      <c r="L877" s="30"/>
      <c r="M877" s="30"/>
      <c r="N877" s="30"/>
      <c r="O877" s="30"/>
      <c r="P877" s="30"/>
      <c r="Q877" s="30"/>
      <c r="R877" s="30"/>
      <c r="S877" s="30"/>
      <c r="T877" s="30"/>
      <c r="U877" s="30"/>
      <c r="V877" s="30"/>
      <c r="W877" s="30"/>
      <c r="X877" s="30"/>
      <c r="Y877" s="30"/>
      <c r="Z877" s="30"/>
      <c r="AA877" s="30"/>
      <c r="AB877" s="30"/>
      <c r="AC877" s="30"/>
    </row>
    <row r="878" ht="39.75" customHeight="1">
      <c r="A878" s="30"/>
      <c r="B878" s="31"/>
      <c r="C878" s="30"/>
      <c r="D878" s="30"/>
      <c r="E878" s="30"/>
      <c r="F878" s="30"/>
      <c r="G878" s="30"/>
      <c r="H878" s="30"/>
      <c r="I878" s="32"/>
      <c r="J878" s="30"/>
      <c r="K878" s="30"/>
      <c r="L878" s="30"/>
      <c r="M878" s="30"/>
      <c r="N878" s="30"/>
      <c r="O878" s="30"/>
      <c r="P878" s="30"/>
      <c r="Q878" s="30"/>
      <c r="R878" s="30"/>
      <c r="S878" s="30"/>
      <c r="T878" s="30"/>
      <c r="U878" s="30"/>
      <c r="V878" s="30"/>
      <c r="W878" s="30"/>
      <c r="X878" s="30"/>
      <c r="Y878" s="30"/>
      <c r="Z878" s="30"/>
      <c r="AA878" s="30"/>
      <c r="AB878" s="30"/>
      <c r="AC878" s="30"/>
    </row>
    <row r="879" ht="39.75" customHeight="1">
      <c r="A879" s="30"/>
      <c r="B879" s="31"/>
      <c r="C879" s="30"/>
      <c r="D879" s="30"/>
      <c r="E879" s="30"/>
      <c r="F879" s="30"/>
      <c r="G879" s="30"/>
      <c r="H879" s="30"/>
      <c r="I879" s="32"/>
      <c r="J879" s="30"/>
      <c r="K879" s="30"/>
      <c r="L879" s="30"/>
      <c r="M879" s="30"/>
      <c r="N879" s="30"/>
      <c r="O879" s="30"/>
      <c r="P879" s="30"/>
      <c r="Q879" s="30"/>
      <c r="R879" s="30"/>
      <c r="S879" s="30"/>
      <c r="T879" s="30"/>
      <c r="U879" s="30"/>
      <c r="V879" s="30"/>
      <c r="W879" s="30"/>
      <c r="X879" s="30"/>
      <c r="Y879" s="30"/>
      <c r="Z879" s="30"/>
      <c r="AA879" s="30"/>
      <c r="AB879" s="30"/>
      <c r="AC879" s="30"/>
    </row>
    <row r="880" ht="39.75" customHeight="1">
      <c r="A880" s="30"/>
      <c r="B880" s="31"/>
      <c r="C880" s="30"/>
      <c r="D880" s="30"/>
      <c r="E880" s="30"/>
      <c r="F880" s="30"/>
      <c r="G880" s="30"/>
      <c r="H880" s="30"/>
      <c r="I880" s="32"/>
      <c r="J880" s="30"/>
      <c r="K880" s="30"/>
      <c r="L880" s="30"/>
      <c r="M880" s="30"/>
      <c r="N880" s="30"/>
      <c r="O880" s="30"/>
      <c r="P880" s="30"/>
      <c r="Q880" s="30"/>
      <c r="R880" s="30"/>
      <c r="S880" s="30"/>
      <c r="T880" s="30"/>
      <c r="U880" s="30"/>
      <c r="V880" s="30"/>
      <c r="W880" s="30"/>
      <c r="X880" s="30"/>
      <c r="Y880" s="30"/>
      <c r="Z880" s="30"/>
      <c r="AA880" s="30"/>
      <c r="AB880" s="30"/>
      <c r="AC880" s="30"/>
    </row>
    <row r="881" ht="39.75" customHeight="1">
      <c r="A881" s="30"/>
      <c r="B881" s="31"/>
      <c r="C881" s="30"/>
      <c r="D881" s="30"/>
      <c r="E881" s="30"/>
      <c r="F881" s="30"/>
      <c r="G881" s="30"/>
      <c r="H881" s="30"/>
      <c r="I881" s="32"/>
      <c r="J881" s="30"/>
      <c r="K881" s="30"/>
      <c r="L881" s="30"/>
      <c r="M881" s="30"/>
      <c r="N881" s="30"/>
      <c r="O881" s="30"/>
      <c r="P881" s="30"/>
      <c r="Q881" s="30"/>
      <c r="R881" s="30"/>
      <c r="S881" s="30"/>
      <c r="T881" s="30"/>
      <c r="U881" s="30"/>
      <c r="V881" s="30"/>
      <c r="W881" s="30"/>
      <c r="X881" s="30"/>
      <c r="Y881" s="30"/>
      <c r="Z881" s="30"/>
      <c r="AA881" s="30"/>
      <c r="AB881" s="30"/>
      <c r="AC881" s="30"/>
    </row>
    <row r="882" ht="39.75" customHeight="1">
      <c r="A882" s="30"/>
      <c r="B882" s="31"/>
      <c r="C882" s="30"/>
      <c r="D882" s="30"/>
      <c r="E882" s="30"/>
      <c r="F882" s="30"/>
      <c r="G882" s="30"/>
      <c r="H882" s="30"/>
      <c r="I882" s="32"/>
      <c r="J882" s="30"/>
      <c r="K882" s="30"/>
      <c r="L882" s="30"/>
      <c r="M882" s="30"/>
      <c r="N882" s="30"/>
      <c r="O882" s="30"/>
      <c r="P882" s="30"/>
      <c r="Q882" s="30"/>
      <c r="R882" s="30"/>
      <c r="S882" s="30"/>
      <c r="T882" s="30"/>
      <c r="U882" s="30"/>
      <c r="V882" s="30"/>
      <c r="W882" s="30"/>
      <c r="X882" s="30"/>
      <c r="Y882" s="30"/>
      <c r="Z882" s="30"/>
      <c r="AA882" s="30"/>
      <c r="AB882" s="30"/>
      <c r="AC882" s="30"/>
    </row>
    <row r="883" ht="39.75" customHeight="1">
      <c r="A883" s="30"/>
      <c r="B883" s="31"/>
      <c r="C883" s="30"/>
      <c r="D883" s="30"/>
      <c r="E883" s="30"/>
      <c r="F883" s="30"/>
      <c r="G883" s="30"/>
      <c r="H883" s="30"/>
      <c r="I883" s="32"/>
      <c r="J883" s="30"/>
      <c r="K883" s="30"/>
      <c r="L883" s="30"/>
      <c r="M883" s="30"/>
      <c r="N883" s="30"/>
      <c r="O883" s="30"/>
      <c r="P883" s="30"/>
      <c r="Q883" s="30"/>
      <c r="R883" s="30"/>
      <c r="S883" s="30"/>
      <c r="T883" s="30"/>
      <c r="U883" s="30"/>
      <c r="V883" s="30"/>
      <c r="W883" s="30"/>
      <c r="X883" s="30"/>
      <c r="Y883" s="30"/>
      <c r="Z883" s="30"/>
      <c r="AA883" s="30"/>
      <c r="AB883" s="30"/>
      <c r="AC883" s="30"/>
    </row>
    <row r="884" ht="39.75" customHeight="1">
      <c r="A884" s="30"/>
      <c r="B884" s="31"/>
      <c r="C884" s="30"/>
      <c r="D884" s="30"/>
      <c r="E884" s="30"/>
      <c r="F884" s="30"/>
      <c r="G884" s="30"/>
      <c r="H884" s="30"/>
      <c r="I884" s="32"/>
      <c r="J884" s="30"/>
      <c r="K884" s="30"/>
      <c r="L884" s="30"/>
      <c r="M884" s="30"/>
      <c r="N884" s="30"/>
      <c r="O884" s="30"/>
      <c r="P884" s="30"/>
      <c r="Q884" s="30"/>
      <c r="R884" s="30"/>
      <c r="S884" s="30"/>
      <c r="T884" s="30"/>
      <c r="U884" s="30"/>
      <c r="V884" s="30"/>
      <c r="W884" s="30"/>
      <c r="X884" s="30"/>
      <c r="Y884" s="30"/>
      <c r="Z884" s="30"/>
      <c r="AA884" s="30"/>
      <c r="AB884" s="30"/>
      <c r="AC884" s="30"/>
    </row>
    <row r="885" ht="39.75" customHeight="1">
      <c r="A885" s="30"/>
      <c r="B885" s="31"/>
      <c r="C885" s="30"/>
      <c r="D885" s="30"/>
      <c r="E885" s="30"/>
      <c r="F885" s="30"/>
      <c r="G885" s="30"/>
      <c r="H885" s="30"/>
      <c r="I885" s="32"/>
      <c r="J885" s="30"/>
      <c r="K885" s="30"/>
      <c r="L885" s="30"/>
      <c r="M885" s="30"/>
      <c r="N885" s="30"/>
      <c r="O885" s="30"/>
      <c r="P885" s="30"/>
      <c r="Q885" s="30"/>
      <c r="R885" s="30"/>
      <c r="S885" s="30"/>
      <c r="T885" s="30"/>
      <c r="U885" s="30"/>
      <c r="V885" s="30"/>
      <c r="W885" s="30"/>
      <c r="X885" s="30"/>
      <c r="Y885" s="30"/>
      <c r="Z885" s="30"/>
      <c r="AA885" s="30"/>
      <c r="AB885" s="30"/>
      <c r="AC885" s="30"/>
    </row>
    <row r="886" ht="39.75" customHeight="1">
      <c r="A886" s="30"/>
      <c r="B886" s="31"/>
      <c r="C886" s="30"/>
      <c r="D886" s="30"/>
      <c r="E886" s="30"/>
      <c r="F886" s="30"/>
      <c r="G886" s="30"/>
      <c r="H886" s="30"/>
      <c r="I886" s="32"/>
      <c r="J886" s="30"/>
      <c r="K886" s="30"/>
      <c r="L886" s="30"/>
      <c r="M886" s="30"/>
      <c r="N886" s="30"/>
      <c r="O886" s="30"/>
      <c r="P886" s="30"/>
      <c r="Q886" s="30"/>
      <c r="R886" s="30"/>
      <c r="S886" s="30"/>
      <c r="T886" s="30"/>
      <c r="U886" s="30"/>
      <c r="V886" s="30"/>
      <c r="W886" s="30"/>
      <c r="X886" s="30"/>
      <c r="Y886" s="30"/>
      <c r="Z886" s="30"/>
      <c r="AA886" s="30"/>
      <c r="AB886" s="30"/>
      <c r="AC886" s="30"/>
    </row>
    <row r="887" ht="39.75" customHeight="1">
      <c r="A887" s="30"/>
      <c r="B887" s="31"/>
      <c r="C887" s="30"/>
      <c r="D887" s="30"/>
      <c r="E887" s="30"/>
      <c r="F887" s="30"/>
      <c r="G887" s="30"/>
      <c r="H887" s="30"/>
      <c r="I887" s="32"/>
      <c r="J887" s="30"/>
      <c r="K887" s="30"/>
      <c r="L887" s="30"/>
      <c r="M887" s="30"/>
      <c r="N887" s="30"/>
      <c r="O887" s="30"/>
      <c r="P887" s="30"/>
      <c r="Q887" s="30"/>
      <c r="R887" s="30"/>
      <c r="S887" s="30"/>
      <c r="T887" s="30"/>
      <c r="U887" s="30"/>
      <c r="V887" s="30"/>
      <c r="W887" s="30"/>
      <c r="X887" s="30"/>
      <c r="Y887" s="30"/>
      <c r="Z887" s="30"/>
      <c r="AA887" s="30"/>
      <c r="AB887" s="30"/>
      <c r="AC887" s="30"/>
    </row>
    <row r="888" ht="39.75" customHeight="1">
      <c r="A888" s="30"/>
      <c r="B888" s="31"/>
      <c r="C888" s="30"/>
      <c r="D888" s="30"/>
      <c r="E888" s="30"/>
      <c r="F888" s="30"/>
      <c r="G888" s="30"/>
      <c r="H888" s="30"/>
      <c r="I888" s="32"/>
      <c r="J888" s="30"/>
      <c r="K888" s="30"/>
      <c r="L888" s="30"/>
      <c r="M888" s="30"/>
      <c r="N888" s="30"/>
      <c r="O888" s="30"/>
      <c r="P888" s="30"/>
      <c r="Q888" s="30"/>
      <c r="R888" s="30"/>
      <c r="S888" s="30"/>
      <c r="T888" s="30"/>
      <c r="U888" s="30"/>
      <c r="V888" s="30"/>
      <c r="W888" s="30"/>
      <c r="X888" s="30"/>
      <c r="Y888" s="30"/>
      <c r="Z888" s="30"/>
      <c r="AA888" s="30"/>
      <c r="AB888" s="30"/>
      <c r="AC888" s="30"/>
    </row>
    <row r="889" ht="39.75" customHeight="1">
      <c r="A889" s="30"/>
      <c r="B889" s="31"/>
      <c r="C889" s="30"/>
      <c r="D889" s="30"/>
      <c r="E889" s="30"/>
      <c r="F889" s="30"/>
      <c r="G889" s="30"/>
      <c r="H889" s="30"/>
      <c r="I889" s="32"/>
      <c r="J889" s="30"/>
      <c r="K889" s="30"/>
      <c r="L889" s="30"/>
      <c r="M889" s="30"/>
      <c r="N889" s="30"/>
      <c r="O889" s="30"/>
      <c r="P889" s="30"/>
      <c r="Q889" s="30"/>
      <c r="R889" s="30"/>
      <c r="S889" s="30"/>
      <c r="T889" s="30"/>
      <c r="U889" s="30"/>
      <c r="V889" s="30"/>
      <c r="W889" s="30"/>
      <c r="X889" s="30"/>
      <c r="Y889" s="30"/>
      <c r="Z889" s="30"/>
      <c r="AA889" s="30"/>
      <c r="AB889" s="30"/>
      <c r="AC889" s="30"/>
    </row>
    <row r="890" ht="39.75" customHeight="1">
      <c r="A890" s="30"/>
      <c r="B890" s="31"/>
      <c r="C890" s="30"/>
      <c r="D890" s="30"/>
      <c r="E890" s="30"/>
      <c r="F890" s="30"/>
      <c r="G890" s="30"/>
      <c r="H890" s="30"/>
      <c r="I890" s="32"/>
      <c r="J890" s="30"/>
      <c r="K890" s="30"/>
      <c r="L890" s="30"/>
      <c r="M890" s="30"/>
      <c r="N890" s="30"/>
      <c r="O890" s="30"/>
      <c r="P890" s="30"/>
      <c r="Q890" s="30"/>
      <c r="R890" s="30"/>
      <c r="S890" s="30"/>
      <c r="T890" s="30"/>
      <c r="U890" s="30"/>
      <c r="V890" s="30"/>
      <c r="W890" s="30"/>
      <c r="X890" s="30"/>
      <c r="Y890" s="30"/>
      <c r="Z890" s="30"/>
      <c r="AA890" s="30"/>
      <c r="AB890" s="30"/>
      <c r="AC890" s="30"/>
    </row>
    <row r="891" ht="39.75" customHeight="1">
      <c r="A891" s="30"/>
      <c r="B891" s="31"/>
      <c r="C891" s="30"/>
      <c r="D891" s="30"/>
      <c r="E891" s="30"/>
      <c r="F891" s="30"/>
      <c r="G891" s="30"/>
      <c r="H891" s="30"/>
      <c r="I891" s="32"/>
      <c r="J891" s="30"/>
      <c r="K891" s="30"/>
      <c r="L891" s="30"/>
      <c r="M891" s="30"/>
      <c r="N891" s="30"/>
      <c r="O891" s="30"/>
      <c r="P891" s="30"/>
      <c r="Q891" s="30"/>
      <c r="R891" s="30"/>
      <c r="S891" s="30"/>
      <c r="T891" s="30"/>
      <c r="U891" s="30"/>
      <c r="V891" s="30"/>
      <c r="W891" s="30"/>
      <c r="X891" s="30"/>
      <c r="Y891" s="30"/>
      <c r="Z891" s="30"/>
      <c r="AA891" s="30"/>
      <c r="AB891" s="30"/>
      <c r="AC891" s="30"/>
    </row>
    <row r="892" ht="39.75" customHeight="1">
      <c r="A892" s="30"/>
      <c r="B892" s="31"/>
      <c r="C892" s="30"/>
      <c r="D892" s="30"/>
      <c r="E892" s="30"/>
      <c r="F892" s="30"/>
      <c r="G892" s="30"/>
      <c r="H892" s="30"/>
      <c r="I892" s="32"/>
      <c r="J892" s="30"/>
      <c r="K892" s="30"/>
      <c r="L892" s="30"/>
      <c r="M892" s="30"/>
      <c r="N892" s="30"/>
      <c r="O892" s="30"/>
      <c r="P892" s="30"/>
      <c r="Q892" s="30"/>
      <c r="R892" s="30"/>
      <c r="S892" s="30"/>
      <c r="T892" s="30"/>
      <c r="U892" s="30"/>
      <c r="V892" s="30"/>
      <c r="W892" s="30"/>
      <c r="X892" s="30"/>
      <c r="Y892" s="30"/>
      <c r="Z892" s="30"/>
      <c r="AA892" s="30"/>
      <c r="AB892" s="30"/>
      <c r="AC892" s="30"/>
    </row>
    <row r="893" ht="39.75" customHeight="1">
      <c r="A893" s="30"/>
      <c r="B893" s="31"/>
      <c r="C893" s="30"/>
      <c r="D893" s="30"/>
      <c r="E893" s="30"/>
      <c r="F893" s="30"/>
      <c r="G893" s="30"/>
      <c r="H893" s="30"/>
      <c r="I893" s="32"/>
      <c r="J893" s="30"/>
      <c r="K893" s="30"/>
      <c r="L893" s="30"/>
      <c r="M893" s="30"/>
      <c r="N893" s="30"/>
      <c r="O893" s="30"/>
      <c r="P893" s="30"/>
      <c r="Q893" s="30"/>
      <c r="R893" s="30"/>
      <c r="S893" s="30"/>
      <c r="T893" s="30"/>
      <c r="U893" s="30"/>
      <c r="V893" s="30"/>
      <c r="W893" s="30"/>
      <c r="X893" s="30"/>
      <c r="Y893" s="30"/>
      <c r="Z893" s="30"/>
      <c r="AA893" s="30"/>
      <c r="AB893" s="30"/>
      <c r="AC893" s="30"/>
    </row>
    <row r="894" ht="39.75" customHeight="1">
      <c r="A894" s="30"/>
      <c r="B894" s="31"/>
      <c r="C894" s="30"/>
      <c r="D894" s="30"/>
      <c r="E894" s="30"/>
      <c r="F894" s="30"/>
      <c r="G894" s="30"/>
      <c r="H894" s="30"/>
      <c r="I894" s="32"/>
      <c r="J894" s="30"/>
      <c r="K894" s="30"/>
      <c r="L894" s="30"/>
      <c r="M894" s="30"/>
      <c r="N894" s="30"/>
      <c r="O894" s="30"/>
      <c r="P894" s="30"/>
      <c r="Q894" s="30"/>
      <c r="R894" s="30"/>
      <c r="S894" s="30"/>
      <c r="T894" s="30"/>
      <c r="U894" s="30"/>
      <c r="V894" s="30"/>
      <c r="W894" s="30"/>
      <c r="X894" s="30"/>
      <c r="Y894" s="30"/>
      <c r="Z894" s="30"/>
      <c r="AA894" s="30"/>
      <c r="AB894" s="30"/>
      <c r="AC894" s="30"/>
    </row>
    <row r="895" ht="39.75" customHeight="1">
      <c r="A895" s="30"/>
      <c r="B895" s="31"/>
      <c r="C895" s="30"/>
      <c r="D895" s="30"/>
      <c r="E895" s="30"/>
      <c r="F895" s="30"/>
      <c r="G895" s="30"/>
      <c r="H895" s="30"/>
      <c r="I895" s="32"/>
      <c r="J895" s="30"/>
      <c r="K895" s="30"/>
      <c r="L895" s="30"/>
      <c r="M895" s="30"/>
      <c r="N895" s="30"/>
      <c r="O895" s="30"/>
      <c r="P895" s="30"/>
      <c r="Q895" s="30"/>
      <c r="R895" s="30"/>
      <c r="S895" s="30"/>
      <c r="T895" s="30"/>
      <c r="U895" s="30"/>
      <c r="V895" s="30"/>
      <c r="W895" s="30"/>
      <c r="X895" s="30"/>
      <c r="Y895" s="30"/>
      <c r="Z895" s="30"/>
      <c r="AA895" s="30"/>
      <c r="AB895" s="30"/>
      <c r="AC895" s="30"/>
    </row>
    <row r="896" ht="39.75" customHeight="1">
      <c r="A896" s="30"/>
      <c r="B896" s="31"/>
      <c r="C896" s="30"/>
      <c r="D896" s="30"/>
      <c r="E896" s="30"/>
      <c r="F896" s="30"/>
      <c r="G896" s="30"/>
      <c r="H896" s="30"/>
      <c r="I896" s="32"/>
      <c r="J896" s="30"/>
      <c r="K896" s="30"/>
      <c r="L896" s="30"/>
      <c r="M896" s="30"/>
      <c r="N896" s="30"/>
      <c r="O896" s="30"/>
      <c r="P896" s="30"/>
      <c r="Q896" s="30"/>
      <c r="R896" s="30"/>
      <c r="S896" s="30"/>
      <c r="T896" s="30"/>
      <c r="U896" s="30"/>
      <c r="V896" s="30"/>
      <c r="W896" s="30"/>
      <c r="X896" s="30"/>
      <c r="Y896" s="30"/>
      <c r="Z896" s="30"/>
      <c r="AA896" s="30"/>
      <c r="AB896" s="30"/>
      <c r="AC896" s="30"/>
    </row>
    <row r="897" ht="39.75" customHeight="1">
      <c r="A897" s="30"/>
      <c r="B897" s="31"/>
      <c r="C897" s="30"/>
      <c r="D897" s="30"/>
      <c r="E897" s="30"/>
      <c r="F897" s="30"/>
      <c r="G897" s="30"/>
      <c r="H897" s="30"/>
      <c r="I897" s="32"/>
      <c r="J897" s="30"/>
      <c r="K897" s="30"/>
      <c r="L897" s="30"/>
      <c r="M897" s="30"/>
      <c r="N897" s="30"/>
      <c r="O897" s="30"/>
      <c r="P897" s="30"/>
      <c r="Q897" s="30"/>
      <c r="R897" s="30"/>
      <c r="S897" s="30"/>
      <c r="T897" s="30"/>
      <c r="U897" s="30"/>
      <c r="V897" s="30"/>
      <c r="W897" s="30"/>
      <c r="X897" s="30"/>
      <c r="Y897" s="30"/>
      <c r="Z897" s="30"/>
      <c r="AA897" s="30"/>
      <c r="AB897" s="30"/>
      <c r="AC897" s="30"/>
    </row>
    <row r="898" ht="39.75" customHeight="1">
      <c r="A898" s="30"/>
      <c r="B898" s="31"/>
      <c r="C898" s="30"/>
      <c r="D898" s="30"/>
      <c r="E898" s="30"/>
      <c r="F898" s="30"/>
      <c r="G898" s="30"/>
      <c r="H898" s="30"/>
      <c r="I898" s="32"/>
      <c r="J898" s="30"/>
      <c r="K898" s="30"/>
      <c r="L898" s="30"/>
      <c r="M898" s="30"/>
      <c r="N898" s="30"/>
      <c r="O898" s="30"/>
      <c r="P898" s="30"/>
      <c r="Q898" s="30"/>
      <c r="R898" s="30"/>
      <c r="S898" s="30"/>
      <c r="T898" s="30"/>
      <c r="U898" s="30"/>
      <c r="V898" s="30"/>
      <c r="W898" s="30"/>
      <c r="X898" s="30"/>
      <c r="Y898" s="30"/>
      <c r="Z898" s="30"/>
      <c r="AA898" s="30"/>
      <c r="AB898" s="30"/>
      <c r="AC898" s="30"/>
    </row>
    <row r="899" ht="39.75" customHeight="1">
      <c r="A899" s="30"/>
      <c r="B899" s="31"/>
      <c r="C899" s="30"/>
      <c r="D899" s="30"/>
      <c r="E899" s="30"/>
      <c r="F899" s="30"/>
      <c r="G899" s="30"/>
      <c r="H899" s="30"/>
      <c r="I899" s="32"/>
      <c r="J899" s="30"/>
      <c r="K899" s="30"/>
      <c r="L899" s="30"/>
      <c r="M899" s="30"/>
      <c r="N899" s="30"/>
      <c r="O899" s="30"/>
      <c r="P899" s="30"/>
      <c r="Q899" s="30"/>
      <c r="R899" s="30"/>
      <c r="S899" s="30"/>
      <c r="T899" s="30"/>
      <c r="U899" s="30"/>
      <c r="V899" s="30"/>
      <c r="W899" s="30"/>
      <c r="X899" s="30"/>
      <c r="Y899" s="30"/>
      <c r="Z899" s="30"/>
      <c r="AA899" s="30"/>
      <c r="AB899" s="30"/>
      <c r="AC899" s="30"/>
    </row>
    <row r="900" ht="39.75" customHeight="1">
      <c r="A900" s="30"/>
      <c r="B900" s="31"/>
      <c r="C900" s="30"/>
      <c r="D900" s="30"/>
      <c r="E900" s="30"/>
      <c r="F900" s="30"/>
      <c r="G900" s="30"/>
      <c r="H900" s="30"/>
      <c r="I900" s="32"/>
      <c r="J900" s="30"/>
      <c r="K900" s="30"/>
      <c r="L900" s="30"/>
      <c r="M900" s="30"/>
      <c r="N900" s="30"/>
      <c r="O900" s="30"/>
      <c r="P900" s="30"/>
      <c r="Q900" s="30"/>
      <c r="R900" s="30"/>
      <c r="S900" s="30"/>
      <c r="T900" s="30"/>
      <c r="U900" s="30"/>
      <c r="V900" s="30"/>
      <c r="W900" s="30"/>
      <c r="X900" s="30"/>
      <c r="Y900" s="30"/>
      <c r="Z900" s="30"/>
      <c r="AA900" s="30"/>
      <c r="AB900" s="30"/>
      <c r="AC900" s="30"/>
    </row>
    <row r="901" ht="39.75" customHeight="1">
      <c r="A901" s="30"/>
      <c r="B901" s="31"/>
      <c r="C901" s="30"/>
      <c r="D901" s="30"/>
      <c r="E901" s="30"/>
      <c r="F901" s="30"/>
      <c r="G901" s="30"/>
      <c r="H901" s="30"/>
      <c r="I901" s="32"/>
      <c r="J901" s="30"/>
      <c r="K901" s="30"/>
      <c r="L901" s="30"/>
      <c r="M901" s="30"/>
      <c r="N901" s="30"/>
      <c r="O901" s="30"/>
      <c r="P901" s="30"/>
      <c r="Q901" s="30"/>
      <c r="R901" s="30"/>
      <c r="S901" s="30"/>
      <c r="T901" s="30"/>
      <c r="U901" s="30"/>
      <c r="V901" s="30"/>
      <c r="W901" s="30"/>
      <c r="X901" s="30"/>
      <c r="Y901" s="30"/>
      <c r="Z901" s="30"/>
      <c r="AA901" s="30"/>
      <c r="AB901" s="30"/>
      <c r="AC901" s="30"/>
    </row>
    <row r="902" ht="39.75" customHeight="1">
      <c r="A902" s="30"/>
      <c r="B902" s="31"/>
      <c r="C902" s="30"/>
      <c r="D902" s="30"/>
      <c r="E902" s="30"/>
      <c r="F902" s="30"/>
      <c r="G902" s="30"/>
      <c r="H902" s="30"/>
      <c r="I902" s="32"/>
      <c r="J902" s="30"/>
      <c r="K902" s="30"/>
      <c r="L902" s="30"/>
      <c r="M902" s="30"/>
      <c r="N902" s="30"/>
      <c r="O902" s="30"/>
      <c r="P902" s="30"/>
      <c r="Q902" s="30"/>
      <c r="R902" s="30"/>
      <c r="S902" s="30"/>
      <c r="T902" s="30"/>
      <c r="U902" s="30"/>
      <c r="V902" s="30"/>
      <c r="W902" s="30"/>
      <c r="X902" s="30"/>
      <c r="Y902" s="30"/>
      <c r="Z902" s="30"/>
      <c r="AA902" s="30"/>
      <c r="AB902" s="30"/>
      <c r="AC902" s="30"/>
    </row>
    <row r="903" ht="39.75" customHeight="1">
      <c r="A903" s="30"/>
      <c r="B903" s="31"/>
      <c r="C903" s="30"/>
      <c r="D903" s="30"/>
      <c r="E903" s="30"/>
      <c r="F903" s="30"/>
      <c r="G903" s="30"/>
      <c r="H903" s="30"/>
      <c r="I903" s="32"/>
      <c r="J903" s="30"/>
      <c r="K903" s="30"/>
      <c r="L903" s="30"/>
      <c r="M903" s="30"/>
      <c r="N903" s="30"/>
      <c r="O903" s="30"/>
      <c r="P903" s="30"/>
      <c r="Q903" s="30"/>
      <c r="R903" s="30"/>
      <c r="S903" s="30"/>
      <c r="T903" s="30"/>
      <c r="U903" s="30"/>
      <c r="V903" s="30"/>
      <c r="W903" s="30"/>
      <c r="X903" s="30"/>
      <c r="Y903" s="30"/>
      <c r="Z903" s="30"/>
      <c r="AA903" s="30"/>
      <c r="AB903" s="30"/>
      <c r="AC903" s="30"/>
    </row>
    <row r="904" ht="39.75" customHeight="1">
      <c r="A904" s="30"/>
      <c r="B904" s="31"/>
      <c r="C904" s="30"/>
      <c r="D904" s="30"/>
      <c r="E904" s="30"/>
      <c r="F904" s="30"/>
      <c r="G904" s="30"/>
      <c r="H904" s="30"/>
      <c r="I904" s="32"/>
      <c r="J904" s="30"/>
      <c r="K904" s="30"/>
      <c r="L904" s="30"/>
      <c r="M904" s="30"/>
      <c r="N904" s="30"/>
      <c r="O904" s="30"/>
      <c r="P904" s="30"/>
      <c r="Q904" s="30"/>
      <c r="R904" s="30"/>
      <c r="S904" s="30"/>
      <c r="T904" s="30"/>
      <c r="U904" s="30"/>
      <c r="V904" s="30"/>
      <c r="W904" s="30"/>
      <c r="X904" s="30"/>
      <c r="Y904" s="30"/>
      <c r="Z904" s="30"/>
      <c r="AA904" s="30"/>
      <c r="AB904" s="30"/>
      <c r="AC904" s="30"/>
    </row>
    <row r="905" ht="39.75" customHeight="1">
      <c r="A905" s="30"/>
      <c r="B905" s="31"/>
      <c r="C905" s="30"/>
      <c r="D905" s="30"/>
      <c r="E905" s="30"/>
      <c r="F905" s="30"/>
      <c r="G905" s="30"/>
      <c r="H905" s="30"/>
      <c r="I905" s="32"/>
      <c r="J905" s="30"/>
      <c r="K905" s="30"/>
      <c r="L905" s="30"/>
      <c r="M905" s="30"/>
      <c r="N905" s="30"/>
      <c r="O905" s="30"/>
      <c r="P905" s="30"/>
      <c r="Q905" s="30"/>
      <c r="R905" s="30"/>
      <c r="S905" s="30"/>
      <c r="T905" s="30"/>
      <c r="U905" s="30"/>
      <c r="V905" s="30"/>
      <c r="W905" s="30"/>
      <c r="X905" s="30"/>
      <c r="Y905" s="30"/>
      <c r="Z905" s="30"/>
      <c r="AA905" s="30"/>
      <c r="AB905" s="30"/>
      <c r="AC905" s="30"/>
    </row>
    <row r="906" ht="39.75" customHeight="1">
      <c r="A906" s="30"/>
      <c r="B906" s="31"/>
      <c r="C906" s="30"/>
      <c r="D906" s="30"/>
      <c r="E906" s="30"/>
      <c r="F906" s="30"/>
      <c r="G906" s="30"/>
      <c r="H906" s="30"/>
      <c r="I906" s="32"/>
      <c r="J906" s="30"/>
      <c r="K906" s="30"/>
      <c r="L906" s="30"/>
      <c r="M906" s="30"/>
      <c r="N906" s="30"/>
      <c r="O906" s="30"/>
      <c r="P906" s="30"/>
      <c r="Q906" s="30"/>
      <c r="R906" s="30"/>
      <c r="S906" s="30"/>
      <c r="T906" s="30"/>
      <c r="U906" s="30"/>
      <c r="V906" s="30"/>
      <c r="W906" s="30"/>
      <c r="X906" s="30"/>
      <c r="Y906" s="30"/>
      <c r="Z906" s="30"/>
      <c r="AA906" s="30"/>
      <c r="AB906" s="30"/>
      <c r="AC906" s="30"/>
    </row>
    <row r="907" ht="39.75" customHeight="1">
      <c r="A907" s="30"/>
      <c r="B907" s="31"/>
      <c r="C907" s="30"/>
      <c r="D907" s="30"/>
      <c r="E907" s="30"/>
      <c r="F907" s="30"/>
      <c r="G907" s="30"/>
      <c r="H907" s="30"/>
      <c r="I907" s="32"/>
      <c r="J907" s="30"/>
      <c r="K907" s="30"/>
      <c r="L907" s="30"/>
      <c r="M907" s="30"/>
      <c r="N907" s="30"/>
      <c r="O907" s="30"/>
      <c r="P907" s="30"/>
      <c r="Q907" s="30"/>
      <c r="R907" s="30"/>
      <c r="S907" s="30"/>
      <c r="T907" s="30"/>
      <c r="U907" s="30"/>
      <c r="V907" s="30"/>
      <c r="W907" s="30"/>
      <c r="X907" s="30"/>
      <c r="Y907" s="30"/>
      <c r="Z907" s="30"/>
      <c r="AA907" s="30"/>
      <c r="AB907" s="30"/>
      <c r="AC907" s="30"/>
    </row>
    <row r="908" ht="39.75" customHeight="1">
      <c r="A908" s="30"/>
      <c r="B908" s="31"/>
      <c r="C908" s="30"/>
      <c r="D908" s="30"/>
      <c r="E908" s="30"/>
      <c r="F908" s="30"/>
      <c r="G908" s="30"/>
      <c r="H908" s="30"/>
      <c r="I908" s="32"/>
      <c r="J908" s="30"/>
      <c r="K908" s="30"/>
      <c r="L908" s="30"/>
      <c r="M908" s="30"/>
      <c r="N908" s="30"/>
      <c r="O908" s="30"/>
      <c r="P908" s="30"/>
      <c r="Q908" s="30"/>
      <c r="R908" s="30"/>
      <c r="S908" s="30"/>
      <c r="T908" s="30"/>
      <c r="U908" s="30"/>
      <c r="V908" s="30"/>
      <c r="W908" s="30"/>
      <c r="X908" s="30"/>
      <c r="Y908" s="30"/>
      <c r="Z908" s="30"/>
      <c r="AA908" s="30"/>
      <c r="AB908" s="30"/>
      <c r="AC908" s="30"/>
    </row>
    <row r="909" ht="39.75" customHeight="1">
      <c r="A909" s="30"/>
      <c r="B909" s="31"/>
      <c r="C909" s="30"/>
      <c r="D909" s="30"/>
      <c r="E909" s="30"/>
      <c r="F909" s="30"/>
      <c r="G909" s="30"/>
      <c r="H909" s="30"/>
      <c r="I909" s="32"/>
      <c r="J909" s="30"/>
      <c r="K909" s="30"/>
      <c r="L909" s="30"/>
      <c r="M909" s="30"/>
      <c r="N909" s="30"/>
      <c r="O909" s="30"/>
      <c r="P909" s="30"/>
      <c r="Q909" s="30"/>
      <c r="R909" s="30"/>
      <c r="S909" s="30"/>
      <c r="T909" s="30"/>
      <c r="U909" s="30"/>
      <c r="V909" s="30"/>
      <c r="W909" s="30"/>
      <c r="X909" s="30"/>
      <c r="Y909" s="30"/>
      <c r="Z909" s="30"/>
      <c r="AA909" s="30"/>
      <c r="AB909" s="30"/>
      <c r="AC909" s="30"/>
    </row>
    <row r="910" ht="39.75" customHeight="1">
      <c r="A910" s="30"/>
      <c r="B910" s="31"/>
      <c r="C910" s="30"/>
      <c r="D910" s="30"/>
      <c r="E910" s="30"/>
      <c r="F910" s="30"/>
      <c r="G910" s="30"/>
      <c r="H910" s="30"/>
      <c r="I910" s="32"/>
      <c r="J910" s="30"/>
      <c r="K910" s="30"/>
      <c r="L910" s="30"/>
      <c r="M910" s="30"/>
      <c r="N910" s="30"/>
      <c r="O910" s="30"/>
      <c r="P910" s="30"/>
      <c r="Q910" s="30"/>
      <c r="R910" s="30"/>
      <c r="S910" s="30"/>
      <c r="T910" s="30"/>
      <c r="U910" s="30"/>
      <c r="V910" s="30"/>
      <c r="W910" s="30"/>
      <c r="X910" s="30"/>
      <c r="Y910" s="30"/>
      <c r="Z910" s="30"/>
      <c r="AA910" s="30"/>
      <c r="AB910" s="30"/>
      <c r="AC910" s="30"/>
    </row>
    <row r="911" ht="39.75" customHeight="1">
      <c r="A911" s="30"/>
      <c r="B911" s="31"/>
      <c r="C911" s="30"/>
      <c r="D911" s="30"/>
      <c r="E911" s="30"/>
      <c r="F911" s="30"/>
      <c r="G911" s="30"/>
      <c r="H911" s="30"/>
      <c r="I911" s="32"/>
      <c r="J911" s="30"/>
      <c r="K911" s="30"/>
      <c r="L911" s="30"/>
      <c r="M911" s="30"/>
      <c r="N911" s="30"/>
      <c r="O911" s="30"/>
      <c r="P911" s="30"/>
      <c r="Q911" s="30"/>
      <c r="R911" s="30"/>
      <c r="S911" s="30"/>
      <c r="T911" s="30"/>
      <c r="U911" s="30"/>
      <c r="V911" s="30"/>
      <c r="W911" s="30"/>
      <c r="X911" s="30"/>
      <c r="Y911" s="30"/>
      <c r="Z911" s="30"/>
      <c r="AA911" s="30"/>
      <c r="AB911" s="30"/>
      <c r="AC911" s="30"/>
    </row>
    <row r="912" ht="39.75" customHeight="1">
      <c r="A912" s="30"/>
      <c r="B912" s="31"/>
      <c r="C912" s="30"/>
      <c r="D912" s="30"/>
      <c r="E912" s="30"/>
      <c r="F912" s="30"/>
      <c r="G912" s="30"/>
      <c r="H912" s="30"/>
      <c r="I912" s="32"/>
      <c r="J912" s="30"/>
      <c r="K912" s="30"/>
      <c r="L912" s="30"/>
      <c r="M912" s="30"/>
      <c r="N912" s="30"/>
      <c r="O912" s="30"/>
      <c r="P912" s="30"/>
      <c r="Q912" s="30"/>
      <c r="R912" s="30"/>
      <c r="S912" s="30"/>
      <c r="T912" s="30"/>
      <c r="U912" s="30"/>
      <c r="V912" s="30"/>
      <c r="W912" s="30"/>
      <c r="X912" s="30"/>
      <c r="Y912" s="30"/>
      <c r="Z912" s="30"/>
      <c r="AA912" s="30"/>
      <c r="AB912" s="30"/>
      <c r="AC912" s="30"/>
    </row>
    <row r="913" ht="39.75" customHeight="1">
      <c r="A913" s="30"/>
      <c r="B913" s="31"/>
      <c r="C913" s="30"/>
      <c r="D913" s="30"/>
      <c r="E913" s="30"/>
      <c r="F913" s="30"/>
      <c r="G913" s="30"/>
      <c r="H913" s="30"/>
      <c r="I913" s="32"/>
      <c r="J913" s="30"/>
      <c r="K913" s="30"/>
      <c r="L913" s="30"/>
      <c r="M913" s="30"/>
      <c r="N913" s="30"/>
      <c r="O913" s="30"/>
      <c r="P913" s="30"/>
      <c r="Q913" s="30"/>
      <c r="R913" s="30"/>
      <c r="S913" s="30"/>
      <c r="T913" s="30"/>
      <c r="U913" s="30"/>
      <c r="V913" s="30"/>
      <c r="W913" s="30"/>
      <c r="X913" s="30"/>
      <c r="Y913" s="30"/>
      <c r="Z913" s="30"/>
      <c r="AA913" s="30"/>
      <c r="AB913" s="30"/>
      <c r="AC913" s="30"/>
    </row>
    <row r="914" ht="39.75" customHeight="1">
      <c r="A914" s="30"/>
      <c r="B914" s="31"/>
      <c r="C914" s="30"/>
      <c r="D914" s="30"/>
      <c r="E914" s="30"/>
      <c r="F914" s="30"/>
      <c r="G914" s="30"/>
      <c r="H914" s="30"/>
      <c r="I914" s="32"/>
      <c r="J914" s="30"/>
      <c r="K914" s="30"/>
      <c r="L914" s="30"/>
      <c r="M914" s="30"/>
      <c r="N914" s="30"/>
      <c r="O914" s="30"/>
      <c r="P914" s="30"/>
      <c r="Q914" s="30"/>
      <c r="R914" s="30"/>
      <c r="S914" s="30"/>
      <c r="T914" s="30"/>
      <c r="U914" s="30"/>
      <c r="V914" s="30"/>
      <c r="W914" s="30"/>
      <c r="X914" s="30"/>
      <c r="Y914" s="30"/>
      <c r="Z914" s="30"/>
      <c r="AA914" s="30"/>
      <c r="AB914" s="30"/>
      <c r="AC914" s="30"/>
    </row>
    <row r="915" ht="39.75" customHeight="1">
      <c r="A915" s="30"/>
      <c r="B915" s="31"/>
      <c r="C915" s="30"/>
      <c r="D915" s="30"/>
      <c r="E915" s="30"/>
      <c r="F915" s="30"/>
      <c r="G915" s="30"/>
      <c r="H915" s="30"/>
      <c r="I915" s="32"/>
      <c r="J915" s="30"/>
      <c r="K915" s="30"/>
      <c r="L915" s="30"/>
      <c r="M915" s="30"/>
      <c r="N915" s="30"/>
      <c r="O915" s="30"/>
      <c r="P915" s="30"/>
      <c r="Q915" s="30"/>
      <c r="R915" s="30"/>
      <c r="S915" s="30"/>
      <c r="T915" s="30"/>
      <c r="U915" s="30"/>
      <c r="V915" s="30"/>
      <c r="W915" s="30"/>
      <c r="X915" s="30"/>
      <c r="Y915" s="30"/>
      <c r="Z915" s="30"/>
      <c r="AA915" s="30"/>
      <c r="AB915" s="30"/>
      <c r="AC915" s="30"/>
    </row>
    <row r="916" ht="39.75" customHeight="1">
      <c r="A916" s="30"/>
      <c r="B916" s="31"/>
      <c r="C916" s="30"/>
      <c r="D916" s="30"/>
      <c r="E916" s="30"/>
      <c r="F916" s="30"/>
      <c r="G916" s="30"/>
      <c r="H916" s="30"/>
      <c r="I916" s="32"/>
      <c r="J916" s="30"/>
      <c r="K916" s="30"/>
      <c r="L916" s="30"/>
      <c r="M916" s="30"/>
      <c r="N916" s="30"/>
      <c r="O916" s="30"/>
      <c r="P916" s="30"/>
      <c r="Q916" s="30"/>
      <c r="R916" s="30"/>
      <c r="S916" s="30"/>
      <c r="T916" s="30"/>
      <c r="U916" s="30"/>
      <c r="V916" s="30"/>
      <c r="W916" s="30"/>
      <c r="X916" s="30"/>
      <c r="Y916" s="30"/>
      <c r="Z916" s="30"/>
      <c r="AA916" s="30"/>
      <c r="AB916" s="30"/>
      <c r="AC916" s="30"/>
    </row>
    <row r="917" ht="39.75" customHeight="1">
      <c r="A917" s="30"/>
      <c r="B917" s="31"/>
      <c r="C917" s="30"/>
      <c r="D917" s="30"/>
      <c r="E917" s="30"/>
      <c r="F917" s="30"/>
      <c r="G917" s="30"/>
      <c r="H917" s="30"/>
      <c r="I917" s="32"/>
      <c r="J917" s="30"/>
      <c r="K917" s="30"/>
      <c r="L917" s="30"/>
      <c r="M917" s="30"/>
      <c r="N917" s="30"/>
      <c r="O917" s="30"/>
      <c r="P917" s="30"/>
      <c r="Q917" s="30"/>
      <c r="R917" s="30"/>
      <c r="S917" s="30"/>
      <c r="T917" s="30"/>
      <c r="U917" s="30"/>
      <c r="V917" s="30"/>
      <c r="W917" s="30"/>
      <c r="X917" s="30"/>
      <c r="Y917" s="30"/>
      <c r="Z917" s="30"/>
      <c r="AA917" s="30"/>
      <c r="AB917" s="30"/>
      <c r="AC917" s="30"/>
    </row>
    <row r="918" ht="39.75" customHeight="1">
      <c r="A918" s="30"/>
      <c r="B918" s="31"/>
      <c r="C918" s="30"/>
      <c r="D918" s="30"/>
      <c r="E918" s="30"/>
      <c r="F918" s="30"/>
      <c r="G918" s="30"/>
      <c r="H918" s="30"/>
      <c r="I918" s="32"/>
      <c r="J918" s="30"/>
      <c r="K918" s="30"/>
      <c r="L918" s="30"/>
      <c r="M918" s="30"/>
      <c r="N918" s="30"/>
      <c r="O918" s="30"/>
      <c r="P918" s="30"/>
      <c r="Q918" s="30"/>
      <c r="R918" s="30"/>
      <c r="S918" s="30"/>
      <c r="T918" s="30"/>
      <c r="U918" s="30"/>
      <c r="V918" s="30"/>
      <c r="W918" s="30"/>
      <c r="X918" s="30"/>
      <c r="Y918" s="30"/>
      <c r="Z918" s="30"/>
      <c r="AA918" s="30"/>
      <c r="AB918" s="30"/>
      <c r="AC918" s="30"/>
    </row>
    <row r="919" ht="39.75" customHeight="1">
      <c r="A919" s="30"/>
      <c r="B919" s="31"/>
      <c r="C919" s="30"/>
      <c r="D919" s="30"/>
      <c r="E919" s="30"/>
      <c r="F919" s="30"/>
      <c r="G919" s="30"/>
      <c r="H919" s="30"/>
      <c r="I919" s="32"/>
      <c r="J919" s="30"/>
      <c r="K919" s="30"/>
      <c r="L919" s="30"/>
      <c r="M919" s="30"/>
      <c r="N919" s="30"/>
      <c r="O919" s="30"/>
      <c r="P919" s="30"/>
      <c r="Q919" s="30"/>
      <c r="R919" s="30"/>
      <c r="S919" s="30"/>
      <c r="T919" s="30"/>
      <c r="U919" s="30"/>
      <c r="V919" s="30"/>
      <c r="W919" s="30"/>
      <c r="X919" s="30"/>
      <c r="Y919" s="30"/>
      <c r="Z919" s="30"/>
      <c r="AA919" s="30"/>
      <c r="AB919" s="30"/>
      <c r="AC919" s="30"/>
    </row>
    <row r="920" ht="39.75" customHeight="1">
      <c r="A920" s="30"/>
      <c r="B920" s="31"/>
      <c r="C920" s="30"/>
      <c r="D920" s="30"/>
      <c r="E920" s="30"/>
      <c r="F920" s="30"/>
      <c r="G920" s="30"/>
      <c r="H920" s="30"/>
      <c r="I920" s="32"/>
      <c r="J920" s="30"/>
      <c r="K920" s="30"/>
      <c r="L920" s="30"/>
      <c r="M920" s="30"/>
      <c r="N920" s="30"/>
      <c r="O920" s="30"/>
      <c r="P920" s="30"/>
      <c r="Q920" s="30"/>
      <c r="R920" s="30"/>
      <c r="S920" s="30"/>
      <c r="T920" s="30"/>
      <c r="U920" s="30"/>
      <c r="V920" s="30"/>
      <c r="W920" s="30"/>
      <c r="X920" s="30"/>
      <c r="Y920" s="30"/>
      <c r="Z920" s="30"/>
      <c r="AA920" s="30"/>
      <c r="AB920" s="30"/>
      <c r="AC920" s="30"/>
    </row>
    <row r="921" ht="39.75" customHeight="1">
      <c r="A921" s="30"/>
      <c r="B921" s="31"/>
      <c r="C921" s="30"/>
      <c r="D921" s="30"/>
      <c r="E921" s="30"/>
      <c r="F921" s="30"/>
      <c r="G921" s="30"/>
      <c r="H921" s="30"/>
      <c r="I921" s="32"/>
      <c r="J921" s="30"/>
      <c r="K921" s="30"/>
      <c r="L921" s="30"/>
      <c r="M921" s="30"/>
      <c r="N921" s="30"/>
      <c r="O921" s="30"/>
      <c r="P921" s="30"/>
      <c r="Q921" s="30"/>
      <c r="R921" s="30"/>
      <c r="S921" s="30"/>
      <c r="T921" s="30"/>
      <c r="U921" s="30"/>
      <c r="V921" s="30"/>
      <c r="W921" s="30"/>
      <c r="X921" s="30"/>
      <c r="Y921" s="30"/>
      <c r="Z921" s="30"/>
      <c r="AA921" s="30"/>
      <c r="AB921" s="30"/>
      <c r="AC921" s="30"/>
    </row>
    <row r="922" ht="39.75" customHeight="1">
      <c r="A922" s="30"/>
      <c r="B922" s="31"/>
      <c r="C922" s="30"/>
      <c r="D922" s="30"/>
      <c r="E922" s="30"/>
      <c r="F922" s="30"/>
      <c r="G922" s="30"/>
      <c r="H922" s="30"/>
      <c r="I922" s="32"/>
      <c r="J922" s="30"/>
      <c r="K922" s="30"/>
      <c r="L922" s="30"/>
      <c r="M922" s="30"/>
      <c r="N922" s="30"/>
      <c r="O922" s="30"/>
      <c r="P922" s="30"/>
      <c r="Q922" s="30"/>
      <c r="R922" s="30"/>
      <c r="S922" s="30"/>
      <c r="T922" s="30"/>
      <c r="U922" s="30"/>
      <c r="V922" s="30"/>
      <c r="W922" s="30"/>
      <c r="X922" s="30"/>
      <c r="Y922" s="30"/>
      <c r="Z922" s="30"/>
      <c r="AA922" s="30"/>
      <c r="AB922" s="30"/>
      <c r="AC922" s="30"/>
    </row>
    <row r="923" ht="39.75" customHeight="1">
      <c r="A923" s="30"/>
      <c r="B923" s="31"/>
      <c r="C923" s="30"/>
      <c r="D923" s="30"/>
      <c r="E923" s="30"/>
      <c r="F923" s="30"/>
      <c r="G923" s="30"/>
      <c r="H923" s="30"/>
      <c r="I923" s="32"/>
      <c r="J923" s="30"/>
      <c r="K923" s="30"/>
      <c r="L923" s="30"/>
      <c r="M923" s="30"/>
      <c r="N923" s="30"/>
      <c r="O923" s="30"/>
      <c r="P923" s="30"/>
      <c r="Q923" s="30"/>
      <c r="R923" s="30"/>
      <c r="S923" s="30"/>
      <c r="T923" s="30"/>
      <c r="U923" s="30"/>
      <c r="V923" s="30"/>
      <c r="W923" s="30"/>
      <c r="X923" s="30"/>
      <c r="Y923" s="30"/>
      <c r="Z923" s="30"/>
      <c r="AA923" s="30"/>
      <c r="AB923" s="30"/>
      <c r="AC923" s="30"/>
    </row>
    <row r="924" ht="39.75" customHeight="1">
      <c r="A924" s="30"/>
      <c r="B924" s="31"/>
      <c r="C924" s="30"/>
      <c r="D924" s="30"/>
      <c r="E924" s="30"/>
      <c r="F924" s="30"/>
      <c r="G924" s="30"/>
      <c r="H924" s="30"/>
      <c r="I924" s="32"/>
      <c r="J924" s="30"/>
      <c r="K924" s="30"/>
      <c r="L924" s="30"/>
      <c r="M924" s="30"/>
      <c r="N924" s="30"/>
      <c r="O924" s="30"/>
      <c r="P924" s="30"/>
      <c r="Q924" s="30"/>
      <c r="R924" s="30"/>
      <c r="S924" s="30"/>
      <c r="T924" s="30"/>
      <c r="U924" s="30"/>
      <c r="V924" s="30"/>
      <c r="W924" s="30"/>
      <c r="X924" s="30"/>
      <c r="Y924" s="30"/>
      <c r="Z924" s="30"/>
      <c r="AA924" s="30"/>
      <c r="AB924" s="30"/>
      <c r="AC924" s="30"/>
    </row>
    <row r="925" ht="39.75" customHeight="1">
      <c r="A925" s="30"/>
      <c r="B925" s="31"/>
      <c r="C925" s="30"/>
      <c r="D925" s="30"/>
      <c r="E925" s="30"/>
      <c r="F925" s="30"/>
      <c r="G925" s="30"/>
      <c r="H925" s="30"/>
      <c r="I925" s="32"/>
      <c r="J925" s="30"/>
      <c r="K925" s="30"/>
      <c r="L925" s="30"/>
      <c r="M925" s="30"/>
      <c r="N925" s="30"/>
      <c r="O925" s="30"/>
      <c r="P925" s="30"/>
      <c r="Q925" s="30"/>
      <c r="R925" s="30"/>
      <c r="S925" s="30"/>
      <c r="T925" s="30"/>
      <c r="U925" s="30"/>
      <c r="V925" s="30"/>
      <c r="W925" s="30"/>
      <c r="X925" s="30"/>
      <c r="Y925" s="30"/>
      <c r="Z925" s="30"/>
      <c r="AA925" s="30"/>
      <c r="AB925" s="30"/>
      <c r="AC925" s="30"/>
    </row>
    <row r="926" ht="39.75" customHeight="1">
      <c r="A926" s="30"/>
      <c r="B926" s="31"/>
      <c r="C926" s="30"/>
      <c r="D926" s="30"/>
      <c r="E926" s="30"/>
      <c r="F926" s="30"/>
      <c r="G926" s="30"/>
      <c r="H926" s="30"/>
      <c r="I926" s="32"/>
      <c r="J926" s="30"/>
      <c r="K926" s="30"/>
      <c r="L926" s="30"/>
      <c r="M926" s="30"/>
      <c r="N926" s="30"/>
      <c r="O926" s="30"/>
      <c r="P926" s="30"/>
      <c r="Q926" s="30"/>
      <c r="R926" s="30"/>
      <c r="S926" s="30"/>
      <c r="T926" s="30"/>
      <c r="U926" s="30"/>
      <c r="V926" s="30"/>
      <c r="W926" s="30"/>
      <c r="X926" s="30"/>
      <c r="Y926" s="30"/>
      <c r="Z926" s="30"/>
      <c r="AA926" s="30"/>
      <c r="AB926" s="30"/>
      <c r="AC926" s="30"/>
    </row>
    <row r="927" ht="39.75" customHeight="1">
      <c r="A927" s="30"/>
      <c r="B927" s="31"/>
      <c r="C927" s="30"/>
      <c r="D927" s="30"/>
      <c r="E927" s="30"/>
      <c r="F927" s="30"/>
      <c r="G927" s="30"/>
      <c r="H927" s="30"/>
      <c r="I927" s="32"/>
      <c r="J927" s="30"/>
      <c r="K927" s="30"/>
      <c r="L927" s="30"/>
      <c r="M927" s="30"/>
      <c r="N927" s="30"/>
      <c r="O927" s="30"/>
      <c r="P927" s="30"/>
      <c r="Q927" s="30"/>
      <c r="R927" s="30"/>
      <c r="S927" s="30"/>
      <c r="T927" s="30"/>
      <c r="U927" s="30"/>
      <c r="V927" s="30"/>
      <c r="W927" s="30"/>
      <c r="X927" s="30"/>
      <c r="Y927" s="30"/>
      <c r="Z927" s="30"/>
      <c r="AA927" s="30"/>
      <c r="AB927" s="30"/>
      <c r="AC927" s="30"/>
    </row>
    <row r="928" ht="39.75" customHeight="1">
      <c r="A928" s="30"/>
      <c r="B928" s="31"/>
      <c r="C928" s="30"/>
      <c r="D928" s="30"/>
      <c r="E928" s="30"/>
      <c r="F928" s="30"/>
      <c r="G928" s="30"/>
      <c r="H928" s="30"/>
      <c r="I928" s="32"/>
      <c r="J928" s="30"/>
      <c r="K928" s="30"/>
      <c r="L928" s="30"/>
      <c r="M928" s="30"/>
      <c r="N928" s="30"/>
      <c r="O928" s="30"/>
      <c r="P928" s="30"/>
      <c r="Q928" s="30"/>
      <c r="R928" s="30"/>
      <c r="S928" s="30"/>
      <c r="T928" s="30"/>
      <c r="U928" s="30"/>
      <c r="V928" s="30"/>
      <c r="W928" s="30"/>
      <c r="X928" s="30"/>
      <c r="Y928" s="30"/>
      <c r="Z928" s="30"/>
      <c r="AA928" s="30"/>
      <c r="AB928" s="30"/>
      <c r="AC928" s="30"/>
    </row>
    <row r="929" ht="39.75" customHeight="1">
      <c r="A929" s="30"/>
      <c r="B929" s="31"/>
      <c r="C929" s="30"/>
      <c r="D929" s="30"/>
      <c r="E929" s="30"/>
      <c r="F929" s="30"/>
      <c r="G929" s="30"/>
      <c r="H929" s="30"/>
      <c r="I929" s="32"/>
      <c r="J929" s="30"/>
      <c r="K929" s="30"/>
      <c r="L929" s="30"/>
      <c r="M929" s="30"/>
      <c r="N929" s="30"/>
      <c r="O929" s="30"/>
      <c r="P929" s="30"/>
      <c r="Q929" s="30"/>
      <c r="R929" s="30"/>
      <c r="S929" s="30"/>
      <c r="T929" s="30"/>
      <c r="U929" s="30"/>
      <c r="V929" s="30"/>
      <c r="W929" s="30"/>
      <c r="X929" s="30"/>
      <c r="Y929" s="30"/>
      <c r="Z929" s="30"/>
      <c r="AA929" s="30"/>
      <c r="AB929" s="30"/>
      <c r="AC929" s="30"/>
    </row>
    <row r="930" ht="39.75" customHeight="1">
      <c r="A930" s="30"/>
      <c r="B930" s="31"/>
      <c r="C930" s="30"/>
      <c r="D930" s="30"/>
      <c r="E930" s="30"/>
      <c r="F930" s="30"/>
      <c r="G930" s="30"/>
      <c r="H930" s="30"/>
      <c r="I930" s="32"/>
      <c r="J930" s="30"/>
      <c r="K930" s="30"/>
      <c r="L930" s="30"/>
      <c r="M930" s="30"/>
      <c r="N930" s="30"/>
      <c r="O930" s="30"/>
      <c r="P930" s="30"/>
      <c r="Q930" s="30"/>
      <c r="R930" s="30"/>
      <c r="S930" s="30"/>
      <c r="T930" s="30"/>
      <c r="U930" s="30"/>
      <c r="V930" s="30"/>
      <c r="W930" s="30"/>
      <c r="X930" s="30"/>
      <c r="Y930" s="30"/>
      <c r="Z930" s="30"/>
      <c r="AA930" s="30"/>
      <c r="AB930" s="30"/>
      <c r="AC930" s="30"/>
    </row>
    <row r="931" ht="39.75" customHeight="1">
      <c r="A931" s="30"/>
      <c r="B931" s="31"/>
      <c r="C931" s="30"/>
      <c r="D931" s="30"/>
      <c r="E931" s="30"/>
      <c r="F931" s="30"/>
      <c r="G931" s="30"/>
      <c r="H931" s="30"/>
      <c r="I931" s="32"/>
      <c r="J931" s="30"/>
      <c r="K931" s="30"/>
      <c r="L931" s="30"/>
      <c r="M931" s="30"/>
      <c r="N931" s="30"/>
      <c r="O931" s="30"/>
      <c r="P931" s="30"/>
      <c r="Q931" s="30"/>
      <c r="R931" s="30"/>
      <c r="S931" s="30"/>
      <c r="T931" s="30"/>
      <c r="U931" s="30"/>
      <c r="V931" s="30"/>
      <c r="W931" s="30"/>
      <c r="X931" s="30"/>
      <c r="Y931" s="30"/>
      <c r="Z931" s="30"/>
      <c r="AA931" s="30"/>
      <c r="AB931" s="30"/>
      <c r="AC931" s="30"/>
    </row>
    <row r="932" ht="39.75" customHeight="1">
      <c r="A932" s="30"/>
      <c r="B932" s="31"/>
      <c r="C932" s="30"/>
      <c r="D932" s="30"/>
      <c r="E932" s="30"/>
      <c r="F932" s="30"/>
      <c r="G932" s="30"/>
      <c r="H932" s="30"/>
      <c r="I932" s="32"/>
      <c r="J932" s="30"/>
      <c r="K932" s="30"/>
      <c r="L932" s="30"/>
      <c r="M932" s="30"/>
      <c r="N932" s="30"/>
      <c r="O932" s="30"/>
      <c r="P932" s="30"/>
      <c r="Q932" s="30"/>
      <c r="R932" s="30"/>
      <c r="S932" s="30"/>
      <c r="T932" s="30"/>
      <c r="U932" s="30"/>
      <c r="V932" s="30"/>
      <c r="W932" s="30"/>
      <c r="X932" s="30"/>
      <c r="Y932" s="30"/>
      <c r="Z932" s="30"/>
      <c r="AA932" s="30"/>
      <c r="AB932" s="30"/>
      <c r="AC932" s="30"/>
    </row>
    <row r="933" ht="39.75" customHeight="1">
      <c r="A933" s="30"/>
      <c r="B933" s="31"/>
      <c r="C933" s="30"/>
      <c r="D933" s="30"/>
      <c r="E933" s="30"/>
      <c r="F933" s="30"/>
      <c r="G933" s="30"/>
      <c r="H933" s="30"/>
      <c r="I933" s="32"/>
      <c r="J933" s="30"/>
      <c r="K933" s="30"/>
      <c r="L933" s="30"/>
      <c r="M933" s="30"/>
      <c r="N933" s="30"/>
      <c r="O933" s="30"/>
      <c r="P933" s="30"/>
      <c r="Q933" s="30"/>
      <c r="R933" s="30"/>
      <c r="S933" s="30"/>
      <c r="T933" s="30"/>
      <c r="U933" s="30"/>
      <c r="V933" s="30"/>
      <c r="W933" s="30"/>
      <c r="X933" s="30"/>
      <c r="Y933" s="30"/>
      <c r="Z933" s="30"/>
      <c r="AA933" s="30"/>
      <c r="AB933" s="30"/>
      <c r="AC933" s="30"/>
    </row>
    <row r="934" ht="39.75" customHeight="1">
      <c r="A934" s="30"/>
      <c r="B934" s="31"/>
      <c r="C934" s="30"/>
      <c r="D934" s="30"/>
      <c r="E934" s="30"/>
      <c r="F934" s="30"/>
      <c r="G934" s="30"/>
      <c r="H934" s="30"/>
      <c r="I934" s="32"/>
      <c r="J934" s="30"/>
      <c r="K934" s="30"/>
      <c r="L934" s="30"/>
      <c r="M934" s="30"/>
      <c r="N934" s="30"/>
      <c r="O934" s="30"/>
      <c r="P934" s="30"/>
      <c r="Q934" s="30"/>
      <c r="R934" s="30"/>
      <c r="S934" s="30"/>
      <c r="T934" s="30"/>
      <c r="U934" s="30"/>
      <c r="V934" s="30"/>
      <c r="W934" s="30"/>
      <c r="X934" s="30"/>
      <c r="Y934" s="30"/>
      <c r="Z934" s="30"/>
      <c r="AA934" s="30"/>
      <c r="AB934" s="30"/>
      <c r="AC934" s="30"/>
    </row>
    <row r="935" ht="39.75" customHeight="1">
      <c r="A935" s="30"/>
      <c r="B935" s="31"/>
      <c r="C935" s="30"/>
      <c r="D935" s="30"/>
      <c r="E935" s="30"/>
      <c r="F935" s="30"/>
      <c r="G935" s="30"/>
      <c r="H935" s="30"/>
      <c r="I935" s="32"/>
      <c r="J935" s="30"/>
      <c r="K935" s="30"/>
      <c r="L935" s="30"/>
      <c r="M935" s="30"/>
      <c r="N935" s="30"/>
      <c r="O935" s="30"/>
      <c r="P935" s="30"/>
      <c r="Q935" s="30"/>
      <c r="R935" s="30"/>
      <c r="S935" s="30"/>
      <c r="T935" s="30"/>
      <c r="U935" s="30"/>
      <c r="V935" s="30"/>
      <c r="W935" s="30"/>
      <c r="X935" s="30"/>
      <c r="Y935" s="30"/>
      <c r="Z935" s="30"/>
      <c r="AA935" s="30"/>
      <c r="AB935" s="30"/>
      <c r="AC935" s="30"/>
    </row>
    <row r="936" ht="39.75" customHeight="1">
      <c r="A936" s="30"/>
      <c r="B936" s="31"/>
      <c r="C936" s="30"/>
      <c r="D936" s="30"/>
      <c r="E936" s="30"/>
      <c r="F936" s="30"/>
      <c r="G936" s="30"/>
      <c r="H936" s="30"/>
      <c r="I936" s="32"/>
      <c r="J936" s="30"/>
      <c r="K936" s="30"/>
      <c r="L936" s="30"/>
      <c r="M936" s="30"/>
      <c r="N936" s="30"/>
      <c r="O936" s="30"/>
      <c r="P936" s="30"/>
      <c r="Q936" s="30"/>
      <c r="R936" s="30"/>
      <c r="S936" s="30"/>
      <c r="T936" s="30"/>
      <c r="U936" s="30"/>
      <c r="V936" s="30"/>
      <c r="W936" s="30"/>
      <c r="X936" s="30"/>
      <c r="Y936" s="30"/>
      <c r="Z936" s="30"/>
      <c r="AA936" s="30"/>
      <c r="AB936" s="30"/>
      <c r="AC936" s="30"/>
    </row>
    <row r="937" ht="39.75" customHeight="1">
      <c r="A937" s="30"/>
      <c r="B937" s="31"/>
      <c r="C937" s="30"/>
      <c r="D937" s="30"/>
      <c r="E937" s="30"/>
      <c r="F937" s="30"/>
      <c r="G937" s="30"/>
      <c r="H937" s="30"/>
      <c r="I937" s="32"/>
      <c r="J937" s="30"/>
      <c r="K937" s="30"/>
      <c r="L937" s="30"/>
      <c r="M937" s="30"/>
      <c r="N937" s="30"/>
      <c r="O937" s="30"/>
      <c r="P937" s="30"/>
      <c r="Q937" s="30"/>
      <c r="R937" s="30"/>
      <c r="S937" s="30"/>
      <c r="T937" s="30"/>
      <c r="U937" s="30"/>
      <c r="V937" s="30"/>
      <c r="W937" s="30"/>
      <c r="X937" s="30"/>
      <c r="Y937" s="30"/>
      <c r="Z937" s="30"/>
      <c r="AA937" s="30"/>
      <c r="AB937" s="30"/>
      <c r="AC937" s="30"/>
    </row>
    <row r="938" ht="39.75" customHeight="1">
      <c r="A938" s="30"/>
      <c r="B938" s="31"/>
      <c r="C938" s="30"/>
      <c r="D938" s="30"/>
      <c r="E938" s="30"/>
      <c r="F938" s="30"/>
      <c r="G938" s="30"/>
      <c r="H938" s="30"/>
      <c r="I938" s="32"/>
      <c r="J938" s="30"/>
      <c r="K938" s="30"/>
      <c r="L938" s="30"/>
      <c r="M938" s="30"/>
      <c r="N938" s="30"/>
      <c r="O938" s="30"/>
      <c r="P938" s="30"/>
      <c r="Q938" s="30"/>
      <c r="R938" s="30"/>
      <c r="S938" s="30"/>
      <c r="T938" s="30"/>
      <c r="U938" s="30"/>
      <c r="V938" s="30"/>
      <c r="W938" s="30"/>
      <c r="X938" s="30"/>
      <c r="Y938" s="30"/>
      <c r="Z938" s="30"/>
      <c r="AA938" s="30"/>
      <c r="AB938" s="30"/>
      <c r="AC938" s="30"/>
    </row>
    <row r="939" ht="39.75" customHeight="1">
      <c r="A939" s="30"/>
      <c r="B939" s="31"/>
      <c r="C939" s="30"/>
      <c r="D939" s="30"/>
      <c r="E939" s="30"/>
      <c r="F939" s="30"/>
      <c r="G939" s="30"/>
      <c r="H939" s="30"/>
      <c r="I939" s="32"/>
      <c r="J939" s="30"/>
      <c r="K939" s="30"/>
      <c r="L939" s="30"/>
      <c r="M939" s="30"/>
      <c r="N939" s="30"/>
      <c r="O939" s="30"/>
      <c r="P939" s="30"/>
      <c r="Q939" s="30"/>
      <c r="R939" s="30"/>
      <c r="S939" s="30"/>
      <c r="T939" s="30"/>
      <c r="U939" s="30"/>
      <c r="V939" s="30"/>
      <c r="W939" s="30"/>
      <c r="X939" s="30"/>
      <c r="Y939" s="30"/>
      <c r="Z939" s="30"/>
      <c r="AA939" s="30"/>
      <c r="AB939" s="30"/>
      <c r="AC939" s="30"/>
    </row>
    <row r="940" ht="39.75" customHeight="1">
      <c r="A940" s="30"/>
      <c r="B940" s="31"/>
      <c r="C940" s="30"/>
      <c r="D940" s="30"/>
      <c r="E940" s="30"/>
      <c r="F940" s="30"/>
      <c r="G940" s="30"/>
      <c r="H940" s="30"/>
      <c r="I940" s="32"/>
      <c r="J940" s="30"/>
      <c r="K940" s="30"/>
      <c r="L940" s="30"/>
      <c r="M940" s="30"/>
      <c r="N940" s="30"/>
      <c r="O940" s="30"/>
      <c r="P940" s="30"/>
      <c r="Q940" s="30"/>
      <c r="R940" s="30"/>
      <c r="S940" s="30"/>
      <c r="T940" s="30"/>
      <c r="U940" s="30"/>
      <c r="V940" s="30"/>
      <c r="W940" s="30"/>
      <c r="X940" s="30"/>
      <c r="Y940" s="30"/>
      <c r="Z940" s="30"/>
      <c r="AA940" s="30"/>
      <c r="AB940" s="30"/>
      <c r="AC940" s="30"/>
    </row>
    <row r="941" ht="39.75" customHeight="1">
      <c r="A941" s="30"/>
      <c r="B941" s="31"/>
      <c r="C941" s="30"/>
      <c r="D941" s="30"/>
      <c r="E941" s="30"/>
      <c r="F941" s="30"/>
      <c r="G941" s="30"/>
      <c r="H941" s="30"/>
      <c r="I941" s="32"/>
      <c r="J941" s="30"/>
      <c r="K941" s="30"/>
      <c r="L941" s="30"/>
      <c r="M941" s="30"/>
      <c r="N941" s="30"/>
      <c r="O941" s="30"/>
      <c r="P941" s="30"/>
      <c r="Q941" s="30"/>
      <c r="R941" s="30"/>
      <c r="S941" s="30"/>
      <c r="T941" s="30"/>
      <c r="U941" s="30"/>
      <c r="V941" s="30"/>
      <c r="W941" s="30"/>
      <c r="X941" s="30"/>
      <c r="Y941" s="30"/>
      <c r="Z941" s="30"/>
      <c r="AA941" s="30"/>
      <c r="AB941" s="30"/>
      <c r="AC941" s="30"/>
    </row>
    <row r="942" ht="39.75" customHeight="1">
      <c r="A942" s="30"/>
      <c r="B942" s="31"/>
      <c r="C942" s="30"/>
      <c r="D942" s="30"/>
      <c r="E942" s="30"/>
      <c r="F942" s="30"/>
      <c r="G942" s="30"/>
      <c r="H942" s="30"/>
      <c r="I942" s="32"/>
      <c r="J942" s="30"/>
      <c r="K942" s="30"/>
      <c r="L942" s="30"/>
      <c r="M942" s="30"/>
      <c r="N942" s="30"/>
      <c r="O942" s="30"/>
      <c r="P942" s="30"/>
      <c r="Q942" s="30"/>
      <c r="R942" s="30"/>
      <c r="S942" s="30"/>
      <c r="T942" s="30"/>
      <c r="U942" s="30"/>
      <c r="V942" s="30"/>
      <c r="W942" s="30"/>
      <c r="X942" s="30"/>
      <c r="Y942" s="30"/>
      <c r="Z942" s="30"/>
      <c r="AA942" s="30"/>
      <c r="AB942" s="30"/>
      <c r="AC942" s="30"/>
    </row>
    <row r="943" ht="39.75" customHeight="1">
      <c r="A943" s="30"/>
      <c r="B943" s="31"/>
      <c r="C943" s="30"/>
      <c r="D943" s="30"/>
      <c r="E943" s="30"/>
      <c r="F943" s="30"/>
      <c r="G943" s="30"/>
      <c r="H943" s="30"/>
      <c r="I943" s="32"/>
      <c r="J943" s="30"/>
      <c r="K943" s="30"/>
      <c r="L943" s="30"/>
      <c r="M943" s="30"/>
      <c r="N943" s="30"/>
      <c r="O943" s="30"/>
      <c r="P943" s="30"/>
      <c r="Q943" s="30"/>
      <c r="R943" s="30"/>
      <c r="S943" s="30"/>
      <c r="T943" s="30"/>
      <c r="U943" s="30"/>
      <c r="V943" s="30"/>
      <c r="W943" s="30"/>
      <c r="X943" s="30"/>
      <c r="Y943" s="30"/>
      <c r="Z943" s="30"/>
      <c r="AA943" s="30"/>
      <c r="AB943" s="30"/>
      <c r="AC943" s="30"/>
    </row>
    <row r="944" ht="39.75" customHeight="1">
      <c r="A944" s="30"/>
      <c r="B944" s="31"/>
      <c r="C944" s="30"/>
      <c r="D944" s="30"/>
      <c r="E944" s="30"/>
      <c r="F944" s="30"/>
      <c r="G944" s="30"/>
      <c r="H944" s="30"/>
      <c r="I944" s="32"/>
      <c r="J944" s="30"/>
      <c r="K944" s="30"/>
      <c r="L944" s="30"/>
      <c r="M944" s="30"/>
      <c r="N944" s="30"/>
      <c r="O944" s="30"/>
      <c r="P944" s="30"/>
      <c r="Q944" s="30"/>
      <c r="R944" s="30"/>
      <c r="S944" s="30"/>
      <c r="T944" s="30"/>
      <c r="U944" s="30"/>
      <c r="V944" s="30"/>
      <c r="W944" s="30"/>
      <c r="X944" s="30"/>
      <c r="Y944" s="30"/>
      <c r="Z944" s="30"/>
      <c r="AA944" s="30"/>
      <c r="AB944" s="30"/>
      <c r="AC944" s="30"/>
    </row>
    <row r="945" ht="39.75" customHeight="1">
      <c r="A945" s="30"/>
      <c r="B945" s="31"/>
      <c r="C945" s="30"/>
      <c r="D945" s="30"/>
      <c r="E945" s="30"/>
      <c r="F945" s="30"/>
      <c r="G945" s="30"/>
      <c r="H945" s="30"/>
      <c r="I945" s="32"/>
      <c r="J945" s="30"/>
      <c r="K945" s="30"/>
      <c r="L945" s="30"/>
      <c r="M945" s="30"/>
      <c r="N945" s="30"/>
      <c r="O945" s="30"/>
      <c r="P945" s="30"/>
      <c r="Q945" s="30"/>
      <c r="R945" s="30"/>
      <c r="S945" s="30"/>
      <c r="T945" s="30"/>
      <c r="U945" s="30"/>
      <c r="V945" s="30"/>
      <c r="W945" s="30"/>
      <c r="X945" s="30"/>
      <c r="Y945" s="30"/>
      <c r="Z945" s="30"/>
      <c r="AA945" s="30"/>
      <c r="AB945" s="30"/>
      <c r="AC945" s="30"/>
    </row>
    <row r="946" ht="39.75" customHeight="1">
      <c r="A946" s="30"/>
      <c r="B946" s="31"/>
      <c r="C946" s="30"/>
      <c r="D946" s="30"/>
      <c r="E946" s="30"/>
      <c r="F946" s="30"/>
      <c r="G946" s="30"/>
      <c r="H946" s="30"/>
      <c r="I946" s="32"/>
      <c r="J946" s="30"/>
      <c r="K946" s="30"/>
      <c r="L946" s="30"/>
      <c r="M946" s="30"/>
      <c r="N946" s="30"/>
      <c r="O946" s="30"/>
      <c r="P946" s="30"/>
      <c r="Q946" s="30"/>
      <c r="R946" s="30"/>
      <c r="S946" s="30"/>
      <c r="T946" s="30"/>
      <c r="U946" s="30"/>
      <c r="V946" s="30"/>
      <c r="W946" s="30"/>
      <c r="X946" s="30"/>
      <c r="Y946" s="30"/>
      <c r="Z946" s="30"/>
      <c r="AA946" s="30"/>
      <c r="AB946" s="30"/>
      <c r="AC946" s="30"/>
    </row>
    <row r="947" ht="39.75" customHeight="1">
      <c r="A947" s="30"/>
      <c r="B947" s="31"/>
      <c r="C947" s="30"/>
      <c r="D947" s="30"/>
      <c r="E947" s="30"/>
      <c r="F947" s="30"/>
      <c r="G947" s="30"/>
      <c r="H947" s="30"/>
      <c r="I947" s="32"/>
      <c r="J947" s="30"/>
      <c r="K947" s="30"/>
      <c r="L947" s="30"/>
      <c r="M947" s="30"/>
      <c r="N947" s="30"/>
      <c r="O947" s="30"/>
      <c r="P947" s="30"/>
      <c r="Q947" s="30"/>
      <c r="R947" s="30"/>
      <c r="S947" s="30"/>
      <c r="T947" s="30"/>
      <c r="U947" s="30"/>
      <c r="V947" s="30"/>
      <c r="W947" s="30"/>
      <c r="X947" s="30"/>
      <c r="Y947" s="30"/>
      <c r="Z947" s="30"/>
      <c r="AA947" s="30"/>
      <c r="AB947" s="30"/>
      <c r="AC947" s="30"/>
    </row>
    <row r="948" ht="39.75" customHeight="1">
      <c r="A948" s="30"/>
      <c r="B948" s="31"/>
      <c r="C948" s="30"/>
      <c r="D948" s="30"/>
      <c r="E948" s="30"/>
      <c r="F948" s="30"/>
      <c r="G948" s="30"/>
      <c r="H948" s="30"/>
      <c r="I948" s="32"/>
      <c r="J948" s="30"/>
      <c r="K948" s="30"/>
      <c r="L948" s="30"/>
      <c r="M948" s="30"/>
      <c r="N948" s="30"/>
      <c r="O948" s="30"/>
      <c r="P948" s="30"/>
      <c r="Q948" s="30"/>
      <c r="R948" s="30"/>
      <c r="S948" s="30"/>
      <c r="T948" s="30"/>
      <c r="U948" s="30"/>
      <c r="V948" s="30"/>
      <c r="W948" s="30"/>
      <c r="X948" s="30"/>
      <c r="Y948" s="30"/>
      <c r="Z948" s="30"/>
      <c r="AA948" s="30"/>
      <c r="AB948" s="30"/>
      <c r="AC948" s="30"/>
    </row>
    <row r="949" ht="39.75" customHeight="1">
      <c r="A949" s="30"/>
      <c r="B949" s="31"/>
      <c r="C949" s="30"/>
      <c r="D949" s="30"/>
      <c r="E949" s="30"/>
      <c r="F949" s="30"/>
      <c r="G949" s="30"/>
      <c r="H949" s="30"/>
      <c r="I949" s="32"/>
      <c r="J949" s="30"/>
      <c r="K949" s="30"/>
      <c r="L949" s="30"/>
      <c r="M949" s="30"/>
      <c r="N949" s="30"/>
      <c r="O949" s="30"/>
      <c r="P949" s="30"/>
      <c r="Q949" s="30"/>
      <c r="R949" s="30"/>
      <c r="S949" s="30"/>
      <c r="T949" s="30"/>
      <c r="U949" s="30"/>
      <c r="V949" s="30"/>
      <c r="W949" s="30"/>
      <c r="X949" s="30"/>
      <c r="Y949" s="30"/>
      <c r="Z949" s="30"/>
      <c r="AA949" s="30"/>
      <c r="AB949" s="30"/>
      <c r="AC949" s="30"/>
    </row>
    <row r="950" ht="39.75" customHeight="1">
      <c r="A950" s="30"/>
      <c r="B950" s="31"/>
      <c r="C950" s="30"/>
      <c r="D950" s="30"/>
      <c r="E950" s="30"/>
      <c r="F950" s="30"/>
      <c r="G950" s="30"/>
      <c r="H950" s="30"/>
      <c r="I950" s="32"/>
      <c r="J950" s="30"/>
      <c r="K950" s="30"/>
      <c r="L950" s="30"/>
      <c r="M950" s="30"/>
      <c r="N950" s="30"/>
      <c r="O950" s="30"/>
      <c r="P950" s="30"/>
      <c r="Q950" s="30"/>
      <c r="R950" s="30"/>
      <c r="S950" s="30"/>
      <c r="T950" s="30"/>
      <c r="U950" s="30"/>
      <c r="V950" s="30"/>
      <c r="W950" s="30"/>
      <c r="X950" s="30"/>
      <c r="Y950" s="30"/>
      <c r="Z950" s="30"/>
      <c r="AA950" s="30"/>
      <c r="AB950" s="30"/>
      <c r="AC950" s="30"/>
    </row>
    <row r="951" ht="39.75" customHeight="1">
      <c r="A951" s="30"/>
      <c r="B951" s="31"/>
      <c r="C951" s="30"/>
      <c r="D951" s="30"/>
      <c r="E951" s="30"/>
      <c r="F951" s="30"/>
      <c r="G951" s="30"/>
      <c r="H951" s="30"/>
      <c r="I951" s="32"/>
      <c r="J951" s="30"/>
      <c r="K951" s="30"/>
      <c r="L951" s="30"/>
      <c r="M951" s="30"/>
      <c r="N951" s="30"/>
      <c r="O951" s="30"/>
      <c r="P951" s="30"/>
      <c r="Q951" s="30"/>
      <c r="R951" s="30"/>
      <c r="S951" s="30"/>
      <c r="T951" s="30"/>
      <c r="U951" s="30"/>
      <c r="V951" s="30"/>
      <c r="W951" s="30"/>
      <c r="X951" s="30"/>
      <c r="Y951" s="30"/>
      <c r="Z951" s="30"/>
      <c r="AA951" s="30"/>
      <c r="AB951" s="30"/>
      <c r="AC951" s="30"/>
    </row>
    <row r="952" ht="39.75" customHeight="1">
      <c r="A952" s="30"/>
      <c r="B952" s="31"/>
      <c r="C952" s="30"/>
      <c r="D952" s="30"/>
      <c r="E952" s="30"/>
      <c r="F952" s="30"/>
      <c r="G952" s="30"/>
      <c r="H952" s="30"/>
      <c r="I952" s="32"/>
      <c r="J952" s="30"/>
      <c r="K952" s="30"/>
      <c r="L952" s="30"/>
      <c r="M952" s="30"/>
      <c r="N952" s="30"/>
      <c r="O952" s="30"/>
      <c r="P952" s="30"/>
      <c r="Q952" s="30"/>
      <c r="R952" s="30"/>
      <c r="S952" s="30"/>
      <c r="T952" s="30"/>
      <c r="U952" s="30"/>
      <c r="V952" s="30"/>
      <c r="W952" s="30"/>
      <c r="X952" s="30"/>
      <c r="Y952" s="30"/>
      <c r="Z952" s="30"/>
      <c r="AA952" s="30"/>
      <c r="AB952" s="30"/>
      <c r="AC952" s="30"/>
    </row>
    <row r="953" ht="39.75" customHeight="1">
      <c r="A953" s="30"/>
      <c r="B953" s="31"/>
      <c r="C953" s="30"/>
      <c r="D953" s="30"/>
      <c r="E953" s="30"/>
      <c r="F953" s="30"/>
      <c r="G953" s="30"/>
      <c r="H953" s="30"/>
      <c r="I953" s="32"/>
      <c r="J953" s="30"/>
      <c r="K953" s="30"/>
      <c r="L953" s="30"/>
      <c r="M953" s="30"/>
      <c r="N953" s="30"/>
      <c r="O953" s="30"/>
      <c r="P953" s="30"/>
      <c r="Q953" s="30"/>
      <c r="R953" s="30"/>
      <c r="S953" s="30"/>
      <c r="T953" s="30"/>
      <c r="U953" s="30"/>
      <c r="V953" s="30"/>
      <c r="W953" s="30"/>
      <c r="X953" s="30"/>
      <c r="Y953" s="30"/>
      <c r="Z953" s="30"/>
      <c r="AA953" s="30"/>
      <c r="AB953" s="30"/>
      <c r="AC953" s="30"/>
    </row>
    <row r="954" ht="39.75" customHeight="1">
      <c r="A954" s="30"/>
      <c r="B954" s="31"/>
      <c r="C954" s="30"/>
      <c r="D954" s="30"/>
      <c r="E954" s="30"/>
      <c r="F954" s="30"/>
      <c r="G954" s="30"/>
      <c r="H954" s="30"/>
      <c r="I954" s="32"/>
      <c r="J954" s="30"/>
      <c r="K954" s="30"/>
      <c r="L954" s="30"/>
      <c r="M954" s="30"/>
      <c r="N954" s="30"/>
      <c r="O954" s="30"/>
      <c r="P954" s="30"/>
      <c r="Q954" s="30"/>
      <c r="R954" s="30"/>
      <c r="S954" s="30"/>
      <c r="T954" s="30"/>
      <c r="U954" s="30"/>
      <c r="V954" s="30"/>
      <c r="W954" s="30"/>
      <c r="X954" s="30"/>
      <c r="Y954" s="30"/>
      <c r="Z954" s="30"/>
      <c r="AA954" s="30"/>
      <c r="AB954" s="30"/>
      <c r="AC954" s="30"/>
    </row>
    <row r="955" ht="39.75" customHeight="1">
      <c r="A955" s="30"/>
      <c r="B955" s="31"/>
      <c r="C955" s="30"/>
      <c r="D955" s="30"/>
      <c r="E955" s="30"/>
      <c r="F955" s="30"/>
      <c r="G955" s="30"/>
      <c r="H955" s="30"/>
      <c r="I955" s="32"/>
      <c r="J955" s="30"/>
      <c r="K955" s="30"/>
      <c r="L955" s="30"/>
      <c r="M955" s="30"/>
      <c r="N955" s="30"/>
      <c r="O955" s="30"/>
      <c r="P955" s="30"/>
      <c r="Q955" s="30"/>
      <c r="R955" s="30"/>
      <c r="S955" s="30"/>
      <c r="T955" s="30"/>
      <c r="U955" s="30"/>
      <c r="V955" s="30"/>
      <c r="W955" s="30"/>
      <c r="X955" s="30"/>
      <c r="Y955" s="30"/>
      <c r="Z955" s="30"/>
      <c r="AA955" s="30"/>
      <c r="AB955" s="30"/>
      <c r="AC955" s="30"/>
    </row>
    <row r="956" ht="39.75" customHeight="1">
      <c r="A956" s="30"/>
      <c r="B956" s="31"/>
      <c r="C956" s="30"/>
      <c r="D956" s="30"/>
      <c r="E956" s="30"/>
      <c r="F956" s="30"/>
      <c r="G956" s="30"/>
      <c r="H956" s="30"/>
      <c r="I956" s="32"/>
      <c r="J956" s="30"/>
      <c r="K956" s="30"/>
      <c r="L956" s="30"/>
      <c r="M956" s="30"/>
      <c r="N956" s="30"/>
      <c r="O956" s="30"/>
      <c r="P956" s="30"/>
      <c r="Q956" s="30"/>
      <c r="R956" s="30"/>
      <c r="S956" s="30"/>
      <c r="T956" s="30"/>
      <c r="U956" s="30"/>
      <c r="V956" s="30"/>
      <c r="W956" s="30"/>
      <c r="X956" s="30"/>
      <c r="Y956" s="30"/>
      <c r="Z956" s="30"/>
      <c r="AA956" s="30"/>
      <c r="AB956" s="30"/>
      <c r="AC956" s="30"/>
    </row>
    <row r="957" ht="39.75" customHeight="1">
      <c r="A957" s="30"/>
      <c r="B957" s="31"/>
      <c r="C957" s="30"/>
      <c r="D957" s="30"/>
      <c r="E957" s="30"/>
      <c r="F957" s="30"/>
      <c r="G957" s="30"/>
      <c r="H957" s="30"/>
      <c r="I957" s="32"/>
      <c r="J957" s="30"/>
      <c r="K957" s="30"/>
      <c r="L957" s="30"/>
      <c r="M957" s="30"/>
      <c r="N957" s="30"/>
      <c r="O957" s="30"/>
      <c r="P957" s="30"/>
      <c r="Q957" s="30"/>
      <c r="R957" s="30"/>
      <c r="S957" s="30"/>
      <c r="T957" s="30"/>
      <c r="U957" s="30"/>
      <c r="V957" s="30"/>
      <c r="W957" s="30"/>
      <c r="X957" s="30"/>
      <c r="Y957" s="30"/>
      <c r="Z957" s="30"/>
      <c r="AA957" s="30"/>
      <c r="AB957" s="30"/>
      <c r="AC957" s="30"/>
    </row>
    <row r="958" ht="39.75" customHeight="1">
      <c r="A958" s="30"/>
      <c r="B958" s="31"/>
      <c r="C958" s="30"/>
      <c r="D958" s="30"/>
      <c r="E958" s="30"/>
      <c r="F958" s="30"/>
      <c r="G958" s="30"/>
      <c r="H958" s="30"/>
      <c r="I958" s="32"/>
      <c r="J958" s="30"/>
      <c r="K958" s="30"/>
      <c r="L958" s="30"/>
      <c r="M958" s="30"/>
      <c r="N958" s="30"/>
      <c r="O958" s="30"/>
      <c r="P958" s="30"/>
      <c r="Q958" s="30"/>
      <c r="R958" s="30"/>
      <c r="S958" s="30"/>
      <c r="T958" s="30"/>
      <c r="U958" s="30"/>
      <c r="V958" s="30"/>
      <c r="W958" s="30"/>
      <c r="X958" s="30"/>
      <c r="Y958" s="30"/>
      <c r="Z958" s="30"/>
      <c r="AA958" s="30"/>
      <c r="AB958" s="30"/>
      <c r="AC958" s="30"/>
    </row>
    <row r="959" ht="39.75" customHeight="1">
      <c r="A959" s="30"/>
      <c r="B959" s="31"/>
      <c r="C959" s="30"/>
      <c r="D959" s="30"/>
      <c r="E959" s="30"/>
      <c r="F959" s="30"/>
      <c r="G959" s="30"/>
      <c r="H959" s="30"/>
      <c r="I959" s="32"/>
      <c r="J959" s="30"/>
      <c r="K959" s="30"/>
      <c r="L959" s="30"/>
      <c r="M959" s="30"/>
      <c r="N959" s="30"/>
      <c r="O959" s="30"/>
      <c r="P959" s="30"/>
      <c r="Q959" s="30"/>
      <c r="R959" s="30"/>
      <c r="S959" s="30"/>
      <c r="T959" s="30"/>
      <c r="U959" s="30"/>
      <c r="V959" s="30"/>
      <c r="W959" s="30"/>
      <c r="X959" s="30"/>
      <c r="Y959" s="30"/>
      <c r="Z959" s="30"/>
      <c r="AA959" s="30"/>
      <c r="AB959" s="30"/>
      <c r="AC959" s="30"/>
    </row>
    <row r="960" ht="39.75" customHeight="1">
      <c r="A960" s="30"/>
      <c r="B960" s="31"/>
      <c r="C960" s="30"/>
      <c r="D960" s="30"/>
      <c r="E960" s="30"/>
      <c r="F960" s="30"/>
      <c r="G960" s="30"/>
      <c r="H960" s="30"/>
      <c r="I960" s="32"/>
      <c r="J960" s="30"/>
      <c r="K960" s="30"/>
      <c r="L960" s="30"/>
      <c r="M960" s="30"/>
      <c r="N960" s="30"/>
      <c r="O960" s="30"/>
      <c r="P960" s="30"/>
      <c r="Q960" s="30"/>
      <c r="R960" s="30"/>
      <c r="S960" s="30"/>
      <c r="T960" s="30"/>
      <c r="U960" s="30"/>
      <c r="V960" s="30"/>
      <c r="W960" s="30"/>
      <c r="X960" s="30"/>
      <c r="Y960" s="30"/>
      <c r="Z960" s="30"/>
      <c r="AA960" s="30"/>
      <c r="AB960" s="30"/>
      <c r="AC960" s="30"/>
    </row>
    <row r="961" ht="39.75" customHeight="1">
      <c r="A961" s="30"/>
      <c r="B961" s="31"/>
      <c r="C961" s="30"/>
      <c r="D961" s="30"/>
      <c r="E961" s="30"/>
      <c r="F961" s="30"/>
      <c r="G961" s="30"/>
      <c r="H961" s="30"/>
      <c r="I961" s="32"/>
      <c r="J961" s="30"/>
      <c r="K961" s="30"/>
      <c r="L961" s="30"/>
      <c r="M961" s="30"/>
      <c r="N961" s="30"/>
      <c r="O961" s="30"/>
      <c r="P961" s="30"/>
      <c r="Q961" s="30"/>
      <c r="R961" s="30"/>
      <c r="S961" s="30"/>
      <c r="T961" s="30"/>
      <c r="U961" s="30"/>
      <c r="V961" s="30"/>
      <c r="W961" s="30"/>
      <c r="X961" s="30"/>
      <c r="Y961" s="30"/>
      <c r="Z961" s="30"/>
      <c r="AA961" s="30"/>
      <c r="AB961" s="30"/>
      <c r="AC961" s="30"/>
    </row>
    <row r="962" ht="39.75" customHeight="1">
      <c r="A962" s="30"/>
      <c r="B962" s="31"/>
      <c r="C962" s="30"/>
      <c r="D962" s="30"/>
      <c r="E962" s="30"/>
      <c r="F962" s="30"/>
      <c r="G962" s="30"/>
      <c r="H962" s="30"/>
      <c r="I962" s="32"/>
      <c r="J962" s="30"/>
      <c r="K962" s="30"/>
      <c r="L962" s="30"/>
      <c r="M962" s="30"/>
      <c r="N962" s="30"/>
      <c r="O962" s="30"/>
      <c r="P962" s="30"/>
      <c r="Q962" s="30"/>
      <c r="R962" s="30"/>
      <c r="S962" s="30"/>
      <c r="T962" s="30"/>
      <c r="U962" s="30"/>
      <c r="V962" s="30"/>
      <c r="W962" s="30"/>
      <c r="X962" s="30"/>
      <c r="Y962" s="30"/>
      <c r="Z962" s="30"/>
      <c r="AA962" s="30"/>
      <c r="AB962" s="30"/>
      <c r="AC962" s="30"/>
    </row>
    <row r="963" ht="39.75" customHeight="1">
      <c r="A963" s="30"/>
      <c r="B963" s="31"/>
      <c r="C963" s="30"/>
      <c r="D963" s="30"/>
      <c r="E963" s="30"/>
      <c r="F963" s="30"/>
      <c r="G963" s="30"/>
      <c r="H963" s="30"/>
      <c r="I963" s="32"/>
      <c r="J963" s="30"/>
      <c r="K963" s="30"/>
      <c r="L963" s="30"/>
      <c r="M963" s="30"/>
      <c r="N963" s="30"/>
      <c r="O963" s="30"/>
      <c r="P963" s="30"/>
      <c r="Q963" s="30"/>
      <c r="R963" s="30"/>
      <c r="S963" s="30"/>
      <c r="T963" s="30"/>
      <c r="U963" s="30"/>
      <c r="V963" s="30"/>
      <c r="W963" s="30"/>
      <c r="X963" s="30"/>
      <c r="Y963" s="30"/>
      <c r="Z963" s="30"/>
      <c r="AA963" s="30"/>
      <c r="AB963" s="30"/>
      <c r="AC963" s="30"/>
    </row>
    <row r="964" ht="39.75" customHeight="1">
      <c r="A964" s="30"/>
      <c r="B964" s="31"/>
      <c r="C964" s="30"/>
      <c r="D964" s="30"/>
      <c r="E964" s="30"/>
      <c r="F964" s="30"/>
      <c r="G964" s="30"/>
      <c r="H964" s="30"/>
      <c r="I964" s="32"/>
      <c r="J964" s="30"/>
      <c r="K964" s="30"/>
      <c r="L964" s="30"/>
      <c r="M964" s="30"/>
      <c r="N964" s="30"/>
      <c r="O964" s="30"/>
      <c r="P964" s="30"/>
      <c r="Q964" s="30"/>
      <c r="R964" s="30"/>
      <c r="S964" s="30"/>
      <c r="T964" s="30"/>
      <c r="U964" s="30"/>
      <c r="V964" s="30"/>
      <c r="W964" s="30"/>
      <c r="X964" s="30"/>
      <c r="Y964" s="30"/>
      <c r="Z964" s="30"/>
      <c r="AA964" s="30"/>
      <c r="AB964" s="30"/>
      <c r="AC964" s="30"/>
    </row>
    <row r="965" ht="39.75" customHeight="1">
      <c r="A965" s="30"/>
      <c r="B965" s="31"/>
      <c r="C965" s="30"/>
      <c r="D965" s="30"/>
      <c r="E965" s="30"/>
      <c r="F965" s="30"/>
      <c r="G965" s="30"/>
      <c r="H965" s="30"/>
      <c r="I965" s="32"/>
      <c r="J965" s="30"/>
      <c r="K965" s="30"/>
      <c r="L965" s="30"/>
      <c r="M965" s="30"/>
      <c r="N965" s="30"/>
      <c r="O965" s="30"/>
      <c r="P965" s="30"/>
      <c r="Q965" s="30"/>
      <c r="R965" s="30"/>
      <c r="S965" s="30"/>
      <c r="T965" s="30"/>
      <c r="U965" s="30"/>
      <c r="V965" s="30"/>
      <c r="W965" s="30"/>
      <c r="X965" s="30"/>
      <c r="Y965" s="30"/>
      <c r="Z965" s="30"/>
      <c r="AA965" s="30"/>
      <c r="AB965" s="30"/>
      <c r="AC965" s="30"/>
    </row>
    <row r="966" ht="39.75" customHeight="1">
      <c r="A966" s="30"/>
      <c r="B966" s="31"/>
      <c r="C966" s="30"/>
      <c r="D966" s="30"/>
      <c r="E966" s="30"/>
      <c r="F966" s="30"/>
      <c r="G966" s="30"/>
      <c r="H966" s="30"/>
      <c r="I966" s="32"/>
      <c r="J966" s="30"/>
      <c r="K966" s="30"/>
      <c r="L966" s="30"/>
      <c r="M966" s="30"/>
      <c r="N966" s="30"/>
      <c r="O966" s="30"/>
      <c r="P966" s="30"/>
      <c r="Q966" s="30"/>
      <c r="R966" s="30"/>
      <c r="S966" s="30"/>
      <c r="T966" s="30"/>
      <c r="U966" s="30"/>
      <c r="V966" s="30"/>
      <c r="W966" s="30"/>
      <c r="X966" s="30"/>
      <c r="Y966" s="30"/>
      <c r="Z966" s="30"/>
      <c r="AA966" s="30"/>
      <c r="AB966" s="30"/>
      <c r="AC966" s="30"/>
    </row>
    <row r="967" ht="39.75" customHeight="1">
      <c r="A967" s="30"/>
      <c r="B967" s="31"/>
      <c r="C967" s="30"/>
      <c r="D967" s="30"/>
      <c r="E967" s="30"/>
      <c r="F967" s="30"/>
      <c r="G967" s="30"/>
      <c r="H967" s="30"/>
      <c r="I967" s="32"/>
      <c r="J967" s="30"/>
      <c r="K967" s="30"/>
      <c r="L967" s="30"/>
      <c r="M967" s="30"/>
      <c r="N967" s="30"/>
      <c r="O967" s="30"/>
      <c r="P967" s="30"/>
      <c r="Q967" s="30"/>
      <c r="R967" s="30"/>
      <c r="S967" s="30"/>
      <c r="T967" s="30"/>
      <c r="U967" s="30"/>
      <c r="V967" s="30"/>
      <c r="W967" s="30"/>
      <c r="X967" s="30"/>
      <c r="Y967" s="30"/>
      <c r="Z967" s="30"/>
      <c r="AA967" s="30"/>
      <c r="AB967" s="30"/>
      <c r="AC967" s="30"/>
    </row>
    <row r="968" ht="39.75" customHeight="1">
      <c r="A968" s="30"/>
      <c r="B968" s="31"/>
      <c r="C968" s="30"/>
      <c r="D968" s="30"/>
      <c r="E968" s="30"/>
      <c r="F968" s="30"/>
      <c r="G968" s="30"/>
      <c r="H968" s="30"/>
      <c r="I968" s="32"/>
      <c r="J968" s="30"/>
      <c r="K968" s="30"/>
      <c r="L968" s="30"/>
      <c r="M968" s="30"/>
      <c r="N968" s="30"/>
      <c r="O968" s="30"/>
      <c r="P968" s="30"/>
      <c r="Q968" s="30"/>
      <c r="R968" s="30"/>
      <c r="S968" s="30"/>
      <c r="T968" s="30"/>
      <c r="U968" s="30"/>
      <c r="V968" s="30"/>
      <c r="W968" s="30"/>
      <c r="X968" s="30"/>
      <c r="Y968" s="30"/>
      <c r="Z968" s="30"/>
      <c r="AA968" s="30"/>
      <c r="AB968" s="30"/>
      <c r="AC968" s="30"/>
    </row>
    <row r="969" ht="39.75" customHeight="1">
      <c r="A969" s="30"/>
      <c r="B969" s="31"/>
      <c r="C969" s="30"/>
      <c r="D969" s="30"/>
      <c r="E969" s="30"/>
      <c r="F969" s="30"/>
      <c r="G969" s="30"/>
      <c r="H969" s="30"/>
      <c r="I969" s="32"/>
      <c r="J969" s="30"/>
      <c r="K969" s="30"/>
      <c r="L969" s="30"/>
      <c r="M969" s="30"/>
      <c r="N969" s="30"/>
      <c r="O969" s="30"/>
      <c r="P969" s="30"/>
      <c r="Q969" s="30"/>
      <c r="R969" s="30"/>
      <c r="S969" s="30"/>
      <c r="T969" s="30"/>
      <c r="U969" s="30"/>
      <c r="V969" s="30"/>
      <c r="W969" s="30"/>
      <c r="X969" s="30"/>
      <c r="Y969" s="30"/>
      <c r="Z969" s="30"/>
      <c r="AA969" s="30"/>
      <c r="AB969" s="30"/>
      <c r="AC969" s="30"/>
    </row>
    <row r="970" ht="39.75" customHeight="1">
      <c r="A970" s="30"/>
      <c r="B970" s="31"/>
      <c r="C970" s="30"/>
      <c r="D970" s="30"/>
      <c r="E970" s="30"/>
      <c r="F970" s="30"/>
      <c r="G970" s="30"/>
      <c r="H970" s="30"/>
      <c r="I970" s="32"/>
      <c r="J970" s="30"/>
      <c r="K970" s="30"/>
      <c r="L970" s="30"/>
      <c r="M970" s="30"/>
      <c r="N970" s="30"/>
      <c r="O970" s="30"/>
      <c r="P970" s="30"/>
      <c r="Q970" s="30"/>
      <c r="R970" s="30"/>
      <c r="S970" s="30"/>
      <c r="T970" s="30"/>
      <c r="U970" s="30"/>
      <c r="V970" s="30"/>
      <c r="W970" s="30"/>
      <c r="X970" s="30"/>
      <c r="Y970" s="30"/>
      <c r="Z970" s="30"/>
      <c r="AA970" s="30"/>
      <c r="AB970" s="30"/>
      <c r="AC970" s="30"/>
    </row>
    <row r="971" ht="39.75" customHeight="1">
      <c r="A971" s="30"/>
      <c r="B971" s="31"/>
      <c r="C971" s="30"/>
      <c r="D971" s="30"/>
      <c r="E971" s="30"/>
      <c r="F971" s="30"/>
      <c r="G971" s="30"/>
      <c r="H971" s="30"/>
      <c r="I971" s="32"/>
      <c r="J971" s="30"/>
      <c r="K971" s="30"/>
      <c r="L971" s="30"/>
      <c r="M971" s="30"/>
      <c r="N971" s="30"/>
      <c r="O971" s="30"/>
      <c r="P971" s="30"/>
      <c r="Q971" s="30"/>
      <c r="R971" s="30"/>
      <c r="S971" s="30"/>
      <c r="T971" s="30"/>
      <c r="U971" s="30"/>
      <c r="V971" s="30"/>
      <c r="W971" s="30"/>
      <c r="X971" s="30"/>
      <c r="Y971" s="30"/>
      <c r="Z971" s="30"/>
      <c r="AA971" s="30"/>
      <c r="AB971" s="30"/>
      <c r="AC971" s="30"/>
    </row>
    <row r="972" ht="39.75" customHeight="1">
      <c r="A972" s="30"/>
      <c r="B972" s="31"/>
      <c r="C972" s="30"/>
      <c r="D972" s="30"/>
      <c r="E972" s="30"/>
      <c r="F972" s="30"/>
      <c r="G972" s="30"/>
      <c r="H972" s="30"/>
      <c r="I972" s="32"/>
      <c r="J972" s="30"/>
      <c r="K972" s="30"/>
      <c r="L972" s="30"/>
      <c r="M972" s="30"/>
      <c r="N972" s="30"/>
      <c r="O972" s="30"/>
      <c r="P972" s="30"/>
      <c r="Q972" s="30"/>
      <c r="R972" s="30"/>
      <c r="S972" s="30"/>
      <c r="T972" s="30"/>
      <c r="U972" s="30"/>
      <c r="V972" s="30"/>
      <c r="W972" s="30"/>
      <c r="X972" s="30"/>
      <c r="Y972" s="30"/>
      <c r="Z972" s="30"/>
      <c r="AA972" s="30"/>
      <c r="AB972" s="30"/>
      <c r="AC972" s="30"/>
    </row>
    <row r="973" ht="39.75" customHeight="1">
      <c r="A973" s="30"/>
      <c r="B973" s="31"/>
      <c r="C973" s="30"/>
      <c r="D973" s="30"/>
      <c r="E973" s="30"/>
      <c r="F973" s="30"/>
      <c r="G973" s="30"/>
      <c r="H973" s="30"/>
      <c r="I973" s="32"/>
      <c r="J973" s="30"/>
      <c r="K973" s="30"/>
      <c r="L973" s="30"/>
      <c r="M973" s="30"/>
      <c r="N973" s="30"/>
      <c r="O973" s="30"/>
      <c r="P973" s="30"/>
      <c r="Q973" s="30"/>
      <c r="R973" s="30"/>
      <c r="S973" s="30"/>
      <c r="T973" s="30"/>
      <c r="U973" s="30"/>
      <c r="V973" s="30"/>
      <c r="W973" s="30"/>
      <c r="X973" s="30"/>
      <c r="Y973" s="30"/>
      <c r="Z973" s="30"/>
      <c r="AA973" s="30"/>
      <c r="AB973" s="30"/>
      <c r="AC973" s="30"/>
    </row>
    <row r="974" ht="39.75" customHeight="1">
      <c r="A974" s="30"/>
      <c r="B974" s="31"/>
      <c r="C974" s="30"/>
      <c r="D974" s="30"/>
      <c r="E974" s="30"/>
      <c r="F974" s="30"/>
      <c r="G974" s="30"/>
      <c r="H974" s="30"/>
      <c r="I974" s="32"/>
      <c r="J974" s="30"/>
      <c r="K974" s="30"/>
      <c r="L974" s="30"/>
      <c r="M974" s="30"/>
      <c r="N974" s="30"/>
      <c r="O974" s="30"/>
      <c r="P974" s="30"/>
      <c r="Q974" s="30"/>
      <c r="R974" s="30"/>
      <c r="S974" s="30"/>
      <c r="T974" s="30"/>
      <c r="U974" s="30"/>
      <c r="V974" s="30"/>
      <c r="W974" s="30"/>
      <c r="X974" s="30"/>
      <c r="Y974" s="30"/>
      <c r="Z974" s="30"/>
      <c r="AA974" s="30"/>
      <c r="AB974" s="30"/>
      <c r="AC974" s="30"/>
    </row>
    <row r="975" ht="39.75" customHeight="1">
      <c r="A975" s="30"/>
      <c r="B975" s="31"/>
      <c r="C975" s="30"/>
      <c r="D975" s="30"/>
      <c r="E975" s="30"/>
      <c r="F975" s="30"/>
      <c r="G975" s="30"/>
      <c r="H975" s="30"/>
      <c r="I975" s="32"/>
      <c r="J975" s="30"/>
      <c r="K975" s="30"/>
      <c r="L975" s="30"/>
      <c r="M975" s="30"/>
      <c r="N975" s="30"/>
      <c r="O975" s="30"/>
      <c r="P975" s="30"/>
      <c r="Q975" s="30"/>
      <c r="R975" s="30"/>
      <c r="S975" s="30"/>
      <c r="T975" s="30"/>
      <c r="U975" s="30"/>
      <c r="V975" s="30"/>
      <c r="W975" s="30"/>
      <c r="X975" s="30"/>
      <c r="Y975" s="30"/>
      <c r="Z975" s="30"/>
      <c r="AA975" s="30"/>
      <c r="AB975" s="30"/>
      <c r="AC975" s="30"/>
    </row>
    <row r="976" ht="39.75" customHeight="1">
      <c r="A976" s="30"/>
      <c r="B976" s="31"/>
      <c r="C976" s="30"/>
      <c r="D976" s="30"/>
      <c r="E976" s="30"/>
      <c r="F976" s="30"/>
      <c r="G976" s="30"/>
      <c r="H976" s="30"/>
      <c r="I976" s="32"/>
      <c r="J976" s="30"/>
      <c r="K976" s="30"/>
      <c r="L976" s="30"/>
      <c r="M976" s="30"/>
      <c r="N976" s="30"/>
      <c r="O976" s="30"/>
      <c r="P976" s="30"/>
      <c r="Q976" s="30"/>
      <c r="R976" s="30"/>
      <c r="S976" s="30"/>
      <c r="T976" s="30"/>
      <c r="U976" s="30"/>
      <c r="V976" s="30"/>
      <c r="W976" s="30"/>
      <c r="X976" s="30"/>
      <c r="Y976" s="30"/>
      <c r="Z976" s="30"/>
      <c r="AA976" s="30"/>
      <c r="AB976" s="30"/>
      <c r="AC976" s="30"/>
    </row>
    <row r="977" ht="39.75" customHeight="1">
      <c r="A977" s="30"/>
      <c r="B977" s="31"/>
      <c r="C977" s="30"/>
      <c r="D977" s="30"/>
      <c r="E977" s="30"/>
      <c r="F977" s="30"/>
      <c r="G977" s="30"/>
      <c r="H977" s="30"/>
      <c r="I977" s="32"/>
      <c r="J977" s="30"/>
      <c r="K977" s="30"/>
      <c r="L977" s="30"/>
      <c r="M977" s="30"/>
      <c r="N977" s="30"/>
      <c r="O977" s="30"/>
      <c r="P977" s="30"/>
      <c r="Q977" s="30"/>
      <c r="R977" s="30"/>
      <c r="S977" s="30"/>
      <c r="T977" s="30"/>
      <c r="U977" s="30"/>
      <c r="V977" s="30"/>
      <c r="W977" s="30"/>
      <c r="X977" s="30"/>
      <c r="Y977" s="30"/>
      <c r="Z977" s="30"/>
      <c r="AA977" s="30"/>
      <c r="AB977" s="30"/>
      <c r="AC977" s="30"/>
    </row>
    <row r="978" ht="39.75" customHeight="1">
      <c r="A978" s="30"/>
      <c r="B978" s="31"/>
      <c r="C978" s="30"/>
      <c r="D978" s="30"/>
      <c r="E978" s="30"/>
      <c r="F978" s="30"/>
      <c r="G978" s="30"/>
      <c r="H978" s="30"/>
      <c r="I978" s="32"/>
      <c r="J978" s="30"/>
      <c r="K978" s="30"/>
      <c r="L978" s="30"/>
      <c r="M978" s="30"/>
      <c r="N978" s="30"/>
      <c r="O978" s="30"/>
      <c r="P978" s="30"/>
      <c r="Q978" s="30"/>
      <c r="R978" s="30"/>
      <c r="S978" s="30"/>
      <c r="T978" s="30"/>
      <c r="U978" s="30"/>
      <c r="V978" s="30"/>
      <c r="W978" s="30"/>
      <c r="X978" s="30"/>
      <c r="Y978" s="30"/>
      <c r="Z978" s="30"/>
      <c r="AA978" s="30"/>
      <c r="AB978" s="30"/>
      <c r="AC978" s="30"/>
    </row>
    <row r="979" ht="39.75" customHeight="1">
      <c r="A979" s="30"/>
      <c r="B979" s="31"/>
      <c r="C979" s="30"/>
      <c r="D979" s="30"/>
      <c r="E979" s="30"/>
      <c r="F979" s="30"/>
      <c r="G979" s="30"/>
      <c r="H979" s="30"/>
      <c r="I979" s="32"/>
      <c r="J979" s="30"/>
      <c r="K979" s="30"/>
      <c r="L979" s="30"/>
      <c r="M979" s="30"/>
      <c r="N979" s="30"/>
      <c r="O979" s="30"/>
      <c r="P979" s="30"/>
      <c r="Q979" s="30"/>
      <c r="R979" s="30"/>
      <c r="S979" s="30"/>
      <c r="T979" s="30"/>
      <c r="U979" s="30"/>
      <c r="V979" s="30"/>
      <c r="W979" s="30"/>
      <c r="X979" s="30"/>
      <c r="Y979" s="30"/>
      <c r="Z979" s="30"/>
      <c r="AA979" s="30"/>
      <c r="AB979" s="30"/>
      <c r="AC979" s="30"/>
    </row>
    <row r="980" ht="39.75" customHeight="1">
      <c r="A980" s="30"/>
      <c r="B980" s="31"/>
      <c r="C980" s="30"/>
      <c r="D980" s="30"/>
      <c r="E980" s="30"/>
      <c r="F980" s="30"/>
      <c r="G980" s="30"/>
      <c r="H980" s="30"/>
      <c r="I980" s="32"/>
      <c r="J980" s="30"/>
      <c r="K980" s="30"/>
      <c r="L980" s="30"/>
      <c r="M980" s="30"/>
      <c r="N980" s="30"/>
      <c r="O980" s="30"/>
      <c r="P980" s="30"/>
      <c r="Q980" s="30"/>
      <c r="R980" s="30"/>
      <c r="S980" s="30"/>
      <c r="T980" s="30"/>
      <c r="U980" s="30"/>
      <c r="V980" s="30"/>
      <c r="W980" s="30"/>
      <c r="X980" s="30"/>
      <c r="Y980" s="30"/>
      <c r="Z980" s="30"/>
      <c r="AA980" s="30"/>
      <c r="AB980" s="30"/>
      <c r="AC980" s="30"/>
    </row>
    <row r="981" ht="39.75" customHeight="1">
      <c r="A981" s="30"/>
      <c r="B981" s="31"/>
      <c r="C981" s="30"/>
      <c r="D981" s="30"/>
      <c r="E981" s="30"/>
      <c r="F981" s="30"/>
      <c r="G981" s="30"/>
      <c r="H981" s="30"/>
      <c r="I981" s="32"/>
      <c r="J981" s="30"/>
      <c r="K981" s="30"/>
      <c r="L981" s="30"/>
      <c r="M981" s="30"/>
      <c r="N981" s="30"/>
      <c r="O981" s="30"/>
      <c r="P981" s="30"/>
      <c r="Q981" s="30"/>
      <c r="R981" s="30"/>
      <c r="S981" s="30"/>
      <c r="T981" s="30"/>
      <c r="U981" s="30"/>
      <c r="V981" s="30"/>
      <c r="W981" s="30"/>
      <c r="X981" s="30"/>
      <c r="Y981" s="30"/>
      <c r="Z981" s="30"/>
      <c r="AA981" s="30"/>
      <c r="AB981" s="30"/>
      <c r="AC981" s="30"/>
    </row>
    <row r="982" ht="39.75" customHeight="1">
      <c r="A982" s="30"/>
      <c r="B982" s="31"/>
      <c r="C982" s="30"/>
      <c r="D982" s="30"/>
      <c r="E982" s="30"/>
      <c r="F982" s="30"/>
      <c r="G982" s="30"/>
      <c r="H982" s="30"/>
      <c r="I982" s="32"/>
      <c r="J982" s="30"/>
      <c r="K982" s="30"/>
      <c r="L982" s="30"/>
      <c r="M982" s="30"/>
      <c r="N982" s="30"/>
      <c r="O982" s="30"/>
      <c r="P982" s="30"/>
      <c r="Q982" s="30"/>
      <c r="R982" s="30"/>
      <c r="S982" s="30"/>
      <c r="T982" s="30"/>
      <c r="U982" s="30"/>
      <c r="V982" s="30"/>
      <c r="W982" s="30"/>
      <c r="X982" s="30"/>
      <c r="Y982" s="30"/>
      <c r="Z982" s="30"/>
      <c r="AA982" s="30"/>
      <c r="AB982" s="30"/>
      <c r="AC982" s="30"/>
    </row>
    <row r="983" ht="39.75" customHeight="1">
      <c r="A983" s="30"/>
      <c r="B983" s="31"/>
      <c r="C983" s="30"/>
      <c r="D983" s="30"/>
      <c r="E983" s="30"/>
      <c r="F983" s="30"/>
      <c r="G983" s="30"/>
      <c r="H983" s="30"/>
      <c r="I983" s="32"/>
      <c r="J983" s="30"/>
      <c r="K983" s="30"/>
      <c r="L983" s="30"/>
      <c r="M983" s="30"/>
      <c r="N983" s="30"/>
      <c r="O983" s="30"/>
      <c r="P983" s="30"/>
      <c r="Q983" s="30"/>
      <c r="R983" s="30"/>
      <c r="S983" s="30"/>
      <c r="T983" s="30"/>
      <c r="U983" s="30"/>
      <c r="V983" s="30"/>
      <c r="W983" s="30"/>
      <c r="X983" s="30"/>
      <c r="Y983" s="30"/>
      <c r="Z983" s="30"/>
      <c r="AA983" s="30"/>
      <c r="AB983" s="30"/>
      <c r="AC983" s="30"/>
    </row>
    <row r="984" ht="39.75" customHeight="1">
      <c r="A984" s="30"/>
      <c r="B984" s="31"/>
      <c r="C984" s="30"/>
      <c r="D984" s="30"/>
      <c r="E984" s="30"/>
      <c r="F984" s="30"/>
      <c r="G984" s="30"/>
      <c r="H984" s="30"/>
      <c r="I984" s="32"/>
      <c r="J984" s="30"/>
      <c r="K984" s="30"/>
      <c r="L984" s="30"/>
      <c r="M984" s="30"/>
      <c r="N984" s="30"/>
      <c r="O984" s="30"/>
      <c r="P984" s="30"/>
      <c r="Q984" s="30"/>
      <c r="R984" s="30"/>
      <c r="S984" s="30"/>
      <c r="T984" s="30"/>
      <c r="U984" s="30"/>
      <c r="V984" s="30"/>
      <c r="W984" s="30"/>
      <c r="X984" s="30"/>
      <c r="Y984" s="30"/>
      <c r="Z984" s="30"/>
      <c r="AA984" s="30"/>
      <c r="AB984" s="30"/>
      <c r="AC984" s="30"/>
    </row>
    <row r="985" ht="39.75" customHeight="1">
      <c r="A985" s="30"/>
      <c r="B985" s="31"/>
      <c r="C985" s="30"/>
      <c r="D985" s="30"/>
      <c r="E985" s="30"/>
      <c r="F985" s="30"/>
      <c r="G985" s="30"/>
      <c r="H985" s="30"/>
      <c r="I985" s="32"/>
      <c r="J985" s="30"/>
      <c r="K985" s="30"/>
      <c r="L985" s="30"/>
      <c r="M985" s="30"/>
      <c r="N985" s="30"/>
      <c r="O985" s="30"/>
      <c r="P985" s="30"/>
      <c r="Q985" s="30"/>
      <c r="R985" s="30"/>
      <c r="S985" s="30"/>
      <c r="T985" s="30"/>
      <c r="U985" s="30"/>
      <c r="V985" s="30"/>
      <c r="W985" s="30"/>
      <c r="X985" s="30"/>
      <c r="Y985" s="30"/>
      <c r="Z985" s="30"/>
      <c r="AA985" s="30"/>
      <c r="AB985" s="30"/>
      <c r="AC985" s="30"/>
    </row>
    <row r="986" ht="39.75" customHeight="1">
      <c r="A986" s="30"/>
      <c r="B986" s="31"/>
      <c r="C986" s="30"/>
      <c r="D986" s="30"/>
      <c r="E986" s="30"/>
      <c r="F986" s="30"/>
      <c r="G986" s="30"/>
      <c r="H986" s="30"/>
      <c r="I986" s="32"/>
      <c r="J986" s="30"/>
      <c r="K986" s="30"/>
      <c r="L986" s="30"/>
      <c r="M986" s="30"/>
      <c r="N986" s="30"/>
      <c r="O986" s="30"/>
      <c r="P986" s="30"/>
      <c r="Q986" s="30"/>
      <c r="R986" s="30"/>
      <c r="S986" s="30"/>
      <c r="T986" s="30"/>
      <c r="U986" s="30"/>
      <c r="V986" s="30"/>
      <c r="W986" s="30"/>
      <c r="X986" s="30"/>
      <c r="Y986" s="30"/>
      <c r="Z986" s="30"/>
      <c r="AA986" s="30"/>
      <c r="AB986" s="30"/>
      <c r="AC986" s="30"/>
    </row>
    <row r="987" ht="39.75" customHeight="1">
      <c r="A987" s="30"/>
      <c r="B987" s="31"/>
      <c r="C987" s="30"/>
      <c r="D987" s="30"/>
      <c r="E987" s="30"/>
      <c r="F987" s="30"/>
      <c r="G987" s="30"/>
      <c r="H987" s="30"/>
      <c r="I987" s="32"/>
      <c r="J987" s="30"/>
      <c r="K987" s="30"/>
      <c r="L987" s="30"/>
      <c r="M987" s="30"/>
      <c r="N987" s="30"/>
      <c r="O987" s="30"/>
      <c r="P987" s="30"/>
      <c r="Q987" s="30"/>
      <c r="R987" s="30"/>
      <c r="S987" s="30"/>
      <c r="T987" s="30"/>
      <c r="U987" s="30"/>
      <c r="V987" s="30"/>
      <c r="W987" s="30"/>
      <c r="X987" s="30"/>
      <c r="Y987" s="30"/>
      <c r="Z987" s="30"/>
      <c r="AA987" s="30"/>
      <c r="AB987" s="30"/>
      <c r="AC987" s="30"/>
    </row>
    <row r="988" ht="39.75" customHeight="1">
      <c r="A988" s="30"/>
      <c r="B988" s="31"/>
      <c r="C988" s="30"/>
      <c r="D988" s="30"/>
      <c r="E988" s="30"/>
      <c r="F988" s="30"/>
      <c r="G988" s="30"/>
      <c r="H988" s="30"/>
      <c r="I988" s="32"/>
      <c r="J988" s="30"/>
      <c r="K988" s="30"/>
      <c r="L988" s="30"/>
      <c r="M988" s="30"/>
      <c r="N988" s="30"/>
      <c r="O988" s="30"/>
      <c r="P988" s="30"/>
      <c r="Q988" s="30"/>
      <c r="R988" s="30"/>
      <c r="S988" s="30"/>
      <c r="T988" s="30"/>
      <c r="U988" s="30"/>
      <c r="V988" s="30"/>
      <c r="W988" s="30"/>
      <c r="X988" s="30"/>
      <c r="Y988" s="30"/>
      <c r="Z988" s="30"/>
      <c r="AA988" s="30"/>
      <c r="AB988" s="30"/>
      <c r="AC988" s="30"/>
    </row>
    <row r="989" ht="39.75" customHeight="1">
      <c r="A989" s="30"/>
      <c r="B989" s="31"/>
      <c r="C989" s="30"/>
      <c r="D989" s="30"/>
      <c r="E989" s="30"/>
      <c r="F989" s="30"/>
      <c r="G989" s="30"/>
      <c r="H989" s="30"/>
      <c r="I989" s="32"/>
      <c r="J989" s="30"/>
      <c r="K989" s="30"/>
      <c r="L989" s="30"/>
      <c r="M989" s="30"/>
      <c r="N989" s="30"/>
      <c r="O989" s="30"/>
      <c r="P989" s="30"/>
      <c r="Q989" s="30"/>
      <c r="R989" s="30"/>
      <c r="S989" s="30"/>
      <c r="T989" s="30"/>
      <c r="U989" s="30"/>
      <c r="V989" s="30"/>
      <c r="W989" s="30"/>
      <c r="X989" s="30"/>
      <c r="Y989" s="30"/>
      <c r="Z989" s="30"/>
      <c r="AA989" s="30"/>
      <c r="AB989" s="30"/>
      <c r="AC989" s="30"/>
    </row>
    <row r="990" ht="39.75" customHeight="1">
      <c r="A990" s="30"/>
      <c r="B990" s="31"/>
      <c r="C990" s="30"/>
      <c r="D990" s="30"/>
      <c r="E990" s="30"/>
      <c r="F990" s="30"/>
      <c r="G990" s="30"/>
      <c r="H990" s="30"/>
      <c r="I990" s="32"/>
      <c r="J990" s="30"/>
      <c r="K990" s="30"/>
      <c r="L990" s="30"/>
      <c r="M990" s="30"/>
      <c r="N990" s="30"/>
      <c r="O990" s="30"/>
      <c r="P990" s="30"/>
      <c r="Q990" s="30"/>
      <c r="R990" s="30"/>
      <c r="S990" s="30"/>
      <c r="T990" s="30"/>
      <c r="U990" s="30"/>
      <c r="V990" s="30"/>
      <c r="W990" s="30"/>
      <c r="X990" s="30"/>
      <c r="Y990" s="30"/>
      <c r="Z990" s="30"/>
      <c r="AA990" s="30"/>
      <c r="AB990" s="30"/>
      <c r="AC990" s="30"/>
    </row>
    <row r="991" ht="39.75" customHeight="1">
      <c r="A991" s="30"/>
      <c r="B991" s="31"/>
      <c r="C991" s="30"/>
      <c r="D991" s="30"/>
      <c r="E991" s="30"/>
      <c r="F991" s="30"/>
      <c r="G991" s="30"/>
      <c r="H991" s="30"/>
      <c r="I991" s="32"/>
      <c r="J991" s="30"/>
      <c r="K991" s="30"/>
      <c r="L991" s="30"/>
      <c r="M991" s="30"/>
      <c r="N991" s="30"/>
      <c r="O991" s="30"/>
      <c r="P991" s="30"/>
      <c r="Q991" s="30"/>
      <c r="R991" s="30"/>
      <c r="S991" s="30"/>
      <c r="T991" s="30"/>
      <c r="U991" s="30"/>
      <c r="V991" s="30"/>
      <c r="W991" s="30"/>
      <c r="X991" s="30"/>
      <c r="Y991" s="30"/>
      <c r="Z991" s="30"/>
      <c r="AA991" s="30"/>
      <c r="AB991" s="30"/>
      <c r="AC991" s="30"/>
    </row>
    <row r="992" ht="39.75" customHeight="1">
      <c r="A992" s="30"/>
      <c r="B992" s="31"/>
      <c r="C992" s="30"/>
      <c r="D992" s="30"/>
      <c r="E992" s="30"/>
      <c r="F992" s="30"/>
      <c r="G992" s="30"/>
      <c r="H992" s="30"/>
      <c r="I992" s="32"/>
      <c r="J992" s="30"/>
      <c r="K992" s="30"/>
      <c r="L992" s="30"/>
      <c r="M992" s="30"/>
      <c r="N992" s="30"/>
      <c r="O992" s="30"/>
      <c r="P992" s="30"/>
      <c r="Q992" s="30"/>
      <c r="R992" s="30"/>
      <c r="S992" s="30"/>
      <c r="T992" s="30"/>
      <c r="U992" s="30"/>
      <c r="V992" s="30"/>
      <c r="W992" s="30"/>
      <c r="X992" s="30"/>
      <c r="Y992" s="30"/>
      <c r="Z992" s="30"/>
      <c r="AA992" s="30"/>
      <c r="AB992" s="30"/>
      <c r="AC992" s="30"/>
    </row>
    <row r="993" ht="39.75" customHeight="1">
      <c r="A993" s="30"/>
      <c r="B993" s="31"/>
      <c r="C993" s="30"/>
      <c r="D993" s="30"/>
      <c r="E993" s="30"/>
      <c r="F993" s="30"/>
      <c r="G993" s="30"/>
      <c r="H993" s="30"/>
      <c r="I993" s="32"/>
      <c r="J993" s="30"/>
      <c r="K993" s="30"/>
      <c r="L993" s="30"/>
      <c r="M993" s="30"/>
      <c r="N993" s="30"/>
      <c r="O993" s="30"/>
      <c r="P993" s="30"/>
      <c r="Q993" s="30"/>
      <c r="R993" s="30"/>
      <c r="S993" s="30"/>
      <c r="T993" s="30"/>
      <c r="U993" s="30"/>
      <c r="V993" s="30"/>
      <c r="W993" s="30"/>
      <c r="X993" s="30"/>
      <c r="Y993" s="30"/>
      <c r="Z993" s="30"/>
      <c r="AA993" s="30"/>
      <c r="AB993" s="30"/>
      <c r="AC993" s="30"/>
    </row>
    <row r="994" ht="39.75" customHeight="1">
      <c r="A994" s="30"/>
      <c r="B994" s="31"/>
      <c r="C994" s="30"/>
      <c r="D994" s="30"/>
      <c r="E994" s="30"/>
      <c r="F994" s="30"/>
      <c r="G994" s="30"/>
      <c r="H994" s="30"/>
      <c r="I994" s="32"/>
      <c r="J994" s="30"/>
      <c r="K994" s="30"/>
      <c r="L994" s="30"/>
      <c r="M994" s="30"/>
      <c r="N994" s="30"/>
      <c r="O994" s="30"/>
      <c r="P994" s="30"/>
      <c r="Q994" s="30"/>
      <c r="R994" s="30"/>
      <c r="S994" s="30"/>
      <c r="T994" s="30"/>
      <c r="U994" s="30"/>
      <c r="V994" s="30"/>
      <c r="W994" s="30"/>
      <c r="X994" s="30"/>
      <c r="Y994" s="30"/>
      <c r="Z994" s="30"/>
      <c r="AA994" s="30"/>
      <c r="AB994" s="30"/>
      <c r="AC994" s="30"/>
    </row>
    <row r="995" ht="39.75" customHeight="1">
      <c r="A995" s="30"/>
      <c r="B995" s="31"/>
      <c r="C995" s="30"/>
      <c r="D995" s="30"/>
      <c r="E995" s="30"/>
      <c r="F995" s="30"/>
      <c r="G995" s="30"/>
      <c r="H995" s="30"/>
      <c r="I995" s="32"/>
      <c r="J995" s="30"/>
      <c r="K995" s="30"/>
      <c r="L995" s="30"/>
      <c r="M995" s="30"/>
      <c r="N995" s="30"/>
      <c r="O995" s="30"/>
      <c r="P995" s="30"/>
      <c r="Q995" s="30"/>
      <c r="R995" s="30"/>
      <c r="S995" s="30"/>
      <c r="T995" s="30"/>
      <c r="U995" s="30"/>
      <c r="V995" s="30"/>
      <c r="W995" s="30"/>
      <c r="X995" s="30"/>
      <c r="Y995" s="30"/>
      <c r="Z995" s="30"/>
      <c r="AA995" s="30"/>
      <c r="AB995" s="30"/>
      <c r="AC995" s="30"/>
    </row>
    <row r="996" ht="39.75" customHeight="1">
      <c r="A996" s="30"/>
      <c r="B996" s="31"/>
      <c r="C996" s="30"/>
      <c r="D996" s="30"/>
      <c r="E996" s="30"/>
      <c r="F996" s="30"/>
      <c r="G996" s="30"/>
      <c r="H996" s="30"/>
      <c r="I996" s="32"/>
      <c r="J996" s="30"/>
      <c r="K996" s="30"/>
      <c r="L996" s="30"/>
      <c r="M996" s="30"/>
      <c r="N996" s="30"/>
      <c r="O996" s="30"/>
      <c r="P996" s="30"/>
      <c r="Q996" s="30"/>
      <c r="R996" s="30"/>
      <c r="S996" s="30"/>
      <c r="T996" s="30"/>
      <c r="U996" s="30"/>
      <c r="V996" s="30"/>
      <c r="W996" s="30"/>
      <c r="X996" s="30"/>
      <c r="Y996" s="30"/>
      <c r="Z996" s="30"/>
      <c r="AA996" s="30"/>
      <c r="AB996" s="30"/>
      <c r="AC996" s="30"/>
    </row>
    <row r="997" ht="39.75" customHeight="1">
      <c r="A997" s="30"/>
      <c r="B997" s="31"/>
      <c r="C997" s="30"/>
      <c r="D997" s="30"/>
      <c r="E997" s="30"/>
      <c r="F997" s="30"/>
      <c r="G997" s="30"/>
      <c r="H997" s="30"/>
      <c r="I997" s="32"/>
      <c r="J997" s="30"/>
      <c r="K997" s="30"/>
      <c r="L997" s="30"/>
      <c r="M997" s="30"/>
      <c r="N997" s="30"/>
      <c r="O997" s="30"/>
      <c r="P997" s="30"/>
      <c r="Q997" s="30"/>
      <c r="R997" s="30"/>
      <c r="S997" s="30"/>
      <c r="T997" s="30"/>
      <c r="U997" s="30"/>
      <c r="V997" s="30"/>
      <c r="W997" s="30"/>
      <c r="X997" s="30"/>
      <c r="Y997" s="30"/>
      <c r="Z997" s="30"/>
      <c r="AA997" s="30"/>
      <c r="AB997" s="30"/>
      <c r="AC997" s="30"/>
    </row>
    <row r="998" ht="39.75" customHeight="1">
      <c r="A998" s="30"/>
      <c r="B998" s="31"/>
      <c r="C998" s="30"/>
      <c r="D998" s="30"/>
      <c r="E998" s="30"/>
      <c r="F998" s="30"/>
      <c r="G998" s="30"/>
      <c r="H998" s="30"/>
      <c r="I998" s="32"/>
      <c r="J998" s="30"/>
      <c r="K998" s="30"/>
      <c r="L998" s="30"/>
      <c r="M998" s="30"/>
      <c r="N998" s="30"/>
      <c r="O998" s="30"/>
      <c r="P998" s="30"/>
      <c r="Q998" s="30"/>
      <c r="R998" s="30"/>
      <c r="S998" s="30"/>
      <c r="T998" s="30"/>
      <c r="U998" s="30"/>
      <c r="V998" s="30"/>
      <c r="W998" s="30"/>
      <c r="X998" s="30"/>
      <c r="Y998" s="30"/>
      <c r="Z998" s="30"/>
      <c r="AA998" s="30"/>
      <c r="AB998" s="30"/>
      <c r="AC998" s="30"/>
    </row>
    <row r="999" ht="39.75" customHeight="1">
      <c r="A999" s="30"/>
      <c r="B999" s="31"/>
      <c r="C999" s="30"/>
      <c r="D999" s="30"/>
      <c r="E999" s="30"/>
      <c r="F999" s="30"/>
      <c r="G999" s="30"/>
      <c r="H999" s="30"/>
      <c r="I999" s="32"/>
      <c r="J999" s="30"/>
      <c r="K999" s="30"/>
      <c r="L999" s="30"/>
      <c r="M999" s="30"/>
      <c r="N999" s="30"/>
      <c r="O999" s="30"/>
      <c r="P999" s="30"/>
      <c r="Q999" s="30"/>
      <c r="R999" s="30"/>
      <c r="S999" s="30"/>
      <c r="T999" s="30"/>
      <c r="U999" s="30"/>
      <c r="V999" s="30"/>
      <c r="W999" s="30"/>
      <c r="X999" s="30"/>
      <c r="Y999" s="30"/>
      <c r="Z999" s="30"/>
      <c r="AA999" s="30"/>
      <c r="AB999" s="30"/>
      <c r="AC999" s="30"/>
    </row>
  </sheetData>
  <dataValidations>
    <dataValidation type="list" allowBlank="1" showErrorMessage="1" sqref="M2:M43 P2:P43 S2:S43 V2:V43 Y2:Y43">
      <formula1>"Yes,No,-"</formula1>
    </dataValidation>
  </dataValidations>
  <hyperlinks>
    <hyperlink r:id="rId1" ref="I2"/>
    <hyperlink r:id="rId2" ref="AC2"/>
    <hyperlink r:id="rId3" ref="I3"/>
    <hyperlink r:id="rId4" ref="AC3"/>
    <hyperlink r:id="rId5" ref="I4"/>
    <hyperlink r:id="rId6" ref="AC4"/>
    <hyperlink r:id="rId7" ref="I5"/>
    <hyperlink r:id="rId8" ref="AC5"/>
    <hyperlink r:id="rId9" ref="I6"/>
    <hyperlink r:id="rId10" ref="AC6"/>
    <hyperlink r:id="rId11" ref="I7"/>
    <hyperlink r:id="rId12" ref="AC7"/>
    <hyperlink r:id="rId13" ref="I8"/>
    <hyperlink r:id="rId14" ref="AC8"/>
    <hyperlink r:id="rId15" ref="I9"/>
    <hyperlink r:id="rId16" ref="AC9"/>
    <hyperlink r:id="rId17" location=":~:text=Among%20the%2021%20companies%20with,and%20provided%20sustainable%20revenue%20momentum." ref="I10"/>
    <hyperlink r:id="rId18" ref="AC10"/>
    <hyperlink r:id="rId19" ref="I11"/>
    <hyperlink r:id="rId20" ref="AC11"/>
    <hyperlink r:id="rId21" ref="I12"/>
    <hyperlink r:id="rId22" ref="AC12"/>
    <hyperlink r:id="rId23" ref="I13"/>
    <hyperlink r:id="rId24" ref="AC13"/>
    <hyperlink r:id="rId25" location=":~:text=%E2%80%98Our%20exports%20to%20Europe%20focus,It%E2%80%99s%20perfectly%C2%A0suited%2C%20for%20example%2C%20for" ref="I14"/>
    <hyperlink r:id="rId26" ref="AC14"/>
    <hyperlink r:id="rId27" location=":~:text=Health%20care%20facilities%20equipped%20with,S" ref="I15"/>
    <hyperlink r:id="rId28" ref="AC15"/>
    <hyperlink r:id="rId29" ref="I16"/>
    <hyperlink r:id="rId30" ref="AC16"/>
    <hyperlink r:id="rId31" ref="I17"/>
    <hyperlink r:id="rId32" ref="AC17"/>
    <hyperlink r:id="rId33" ref="I18"/>
    <hyperlink r:id="rId34" ref="AC18"/>
    <hyperlink r:id="rId35" ref="I19"/>
    <hyperlink r:id="rId36" ref="AC19"/>
    <hyperlink r:id="rId37" location=":~:text=In%20most%20European%20countries%2C%20IVD,profit%20hospitals%20in%20France" ref="I20"/>
    <hyperlink r:id="rId38" ref="AC20"/>
    <hyperlink r:id="rId39" ref="I21"/>
    <hyperlink r:id="rId40" ref="AC21"/>
    <hyperlink r:id="rId41" location=":~:text=The%20NABM%20Nomenclature%20serves%20as,statutory%20health%20insurance%20in%20France" ref="I22"/>
    <hyperlink r:id="rId42" ref="AC22"/>
    <hyperlink r:id="rId43" location=":~:text=NICE%20will%20utilize%20a%20life,recommendations%20in%20the%20HealthTech%20program" ref="I23"/>
    <hyperlink r:id="rId44" ref="AC23"/>
    <hyperlink r:id="rId45" ref="I24"/>
    <hyperlink r:id="rId46" ref="AC24"/>
    <hyperlink r:id="rId47" ref="I25"/>
    <hyperlink r:id="rId48" ref="AC25"/>
    <hyperlink r:id="rId49" location=":~:text=AB%20ANALITICA%20and%20SNIBE%20are,molecular%20tests%20on%20this%20platform" ref="I26"/>
    <hyperlink r:id="rId50" ref="AC26"/>
    <hyperlink r:id="rId51" location=":~:text=value%20of%20above%20EUR%205,consumables%20covered%20by%20framework%20agreements" ref="I27"/>
    <hyperlink r:id="rId52" ref="AC27"/>
    <hyperlink r:id="rId53" ref="I28"/>
    <hyperlink r:id="rId54" ref="AC28"/>
    <hyperlink r:id="rId55" location=":~:text=2023,in%20DiaSys%20Diagnostic%20Systems%20GmbH" ref="I29"/>
    <hyperlink r:id="rId56" ref="AC29"/>
    <hyperlink r:id="rId57" location=":~:text=According%20to%20the%20commission%2C%2087,medical%20devices%20and%20EU%20suppliers%E2%80%9D" ref="I30"/>
    <hyperlink r:id="rId58" ref="AC30"/>
    <hyperlink r:id="rId59" location=":~:text=MDR%20,devices%20and%20reusable%20surgical%20instruments" ref="I31"/>
    <hyperlink r:id="rId60" ref="AC31"/>
    <hyperlink r:id="rId61" ref="I32"/>
    <hyperlink r:id="rId62" ref="AC32"/>
    <hyperlink r:id="rId63" ref="I33"/>
    <hyperlink r:id="rId64" ref="AC33"/>
    <hyperlink r:id="rId65" ref="I34"/>
    <hyperlink r:id="rId66" ref="AC34"/>
    <hyperlink r:id="rId67" ref="I35"/>
    <hyperlink r:id="rId68" ref="AC35"/>
    <hyperlink r:id="rId69" ref="I36"/>
    <hyperlink r:id="rId70" ref="AC36"/>
    <hyperlink r:id="rId71" ref="I37"/>
    <hyperlink r:id="rId72" ref="AC37"/>
    <hyperlink r:id="rId73" ref="I38"/>
    <hyperlink r:id="rId74" ref="AC38"/>
    <hyperlink r:id="rId75" ref="I39"/>
    <hyperlink r:id="rId76" ref="AC39"/>
    <hyperlink r:id="rId77" location=":~:text=BRUSSELS%2C%20June%202%20%28Reuters%29%20,EU%20diplomats%20said%20on%20Monday" ref="I40"/>
    <hyperlink r:id="rId78" ref="AC40"/>
    <hyperlink r:id="rId79" ref="I41"/>
    <hyperlink r:id="rId80" ref="AC41"/>
    <hyperlink r:id="rId81" ref="I42"/>
    <hyperlink r:id="rId82" ref="AC42"/>
    <hyperlink r:id="rId83" ref="I43"/>
    <hyperlink r:id="rId84" ref="AC43"/>
  </hyperlinks>
  <drawing r:id="rId85"/>
</worksheet>
</file>